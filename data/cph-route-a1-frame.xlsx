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cph_route_a1_frame" sheetId="1" state="visible" r:id="rId3"/>
    <sheet name="legend_and_provenance"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<sst xmlns="http://schemas.openxmlformats.org/spreadsheetml/2006/main" count="1272" uniqueCount="420">
  <si>
    <t xml:space="preserve">COPENHAGEN — ROUTE A1 FRAME (MICHELIN Guide Nordic Countries 2026)</t>
  </si>
  <si>
    <t xml:space="preserve">Route A1 only. Route A2 (White Guide) and Route B not yet applied — blank means not looked at, never 'no'. F1 verdicts are taken from RESOLVED ADDRESSES (Google Places, 2026-07-30), not from the guide's city label.</t>
  </si>
  <si>
    <t xml:space="preserve">venue_name</t>
  </si>
  <si>
    <t xml:space="preserve">michelin_city_label</t>
  </si>
  <si>
    <t xml:space="preserve">route_a1</t>
  </si>
  <si>
    <t xml:space="preserve">route_a1_tier</t>
  </si>
  <si>
    <t xml:space="preserve">kommune</t>
  </si>
  <si>
    <t xml:space="preserve">address</t>
  </si>
  <si>
    <t xml:space="preserve">google_place_id</t>
  </si>
  <si>
    <t xml:space="preserve">neighbourhood</t>
  </si>
  <si>
    <t xml:space="preserve">route_a2</t>
  </si>
  <si>
    <t xml:space="preserve">route_a2_tier</t>
  </si>
  <si>
    <t xml:space="preserve">route_b</t>
  </si>
  <si>
    <t xml:space="preserve">route_b_citations</t>
  </si>
  <si>
    <t xml:space="preserve">ownership_scale</t>
  </si>
  <si>
    <t xml:space="preserve">ownership_count</t>
  </si>
  <si>
    <t xml:space="preserve">ownership_source</t>
  </si>
  <si>
    <t xml:space="preserve">parent_group</t>
  </si>
  <si>
    <t xml:space="preserve">opened_on</t>
  </si>
  <si>
    <t xml:space="preserve">menu_publication_mode</t>
  </si>
  <si>
    <t xml:space="preserve">menu_source_url</t>
  </si>
  <si>
    <t xml:space="preserve">cheapest_full_meal_price</t>
  </si>
  <si>
    <t xml:space="preserve">currency</t>
  </si>
  <si>
    <t xml:space="preserve">in_cohort</t>
  </si>
  <si>
    <t xml:space="preserve">excluded_reason</t>
  </si>
  <si>
    <t xml:space="preserve">frame_date</t>
  </si>
  <si>
    <t xml:space="preserve">source_url</t>
  </si>
  <si>
    <t xml:space="preserve">source_page</t>
  </si>
  <si>
    <t xml:space="preserve">observed_at</t>
  </si>
  <si>
    <t xml:space="preserve">retrieved_at</t>
  </si>
  <si>
    <t xml:space="preserve">added_by</t>
  </si>
  <si>
    <t xml:space="preserve">notes</t>
  </si>
  <si>
    <t xml:space="preserve">Geranium</t>
  </si>
  <si>
    <t xml:space="preserve">Copenhagen</t>
  </si>
  <si>
    <t xml:space="preserve">TRUE</t>
  </si>
  <si>
    <t xml:space="preserve">3 stars</t>
  </si>
  <si>
    <t xml:space="preserve">Københavns Kommune</t>
  </si>
  <si>
    <t xml:space="preserve">Per Henrik Lings Allé 4, 8. Sal, 2100 København</t>
  </si>
  <si>
    <t xml:space="preserve">ChIJAQshwflSUkYRF9f4wpDIt7U</t>
  </si>
  <si>
    <t xml:space="preserve">FALSE</t>
  </si>
  <si>
    <t xml:space="preserve">2026-07-28</t>
  </si>
  <si>
    <t xml:space="preserve">https://guide.michelin.com/us/en/capital-region/copenhagen/restaurant/geranium</t>
  </si>
  <si>
    <t xml:space="preserve">page 1</t>
  </si>
  <si>
    <t xml:space="preserve">2026-07-30</t>
  </si>
  <si>
    <t xml:space="preserve">claude</t>
  </si>
  <si>
    <t xml:space="preserve">Lille Mølle</t>
  </si>
  <si>
    <t xml:space="preserve">1 star</t>
  </si>
  <si>
    <t xml:space="preserve">Christianshavns Voldgade 52, st, 1424 København</t>
  </si>
  <si>
    <t xml:space="preserve">ChIJ29LGogVTUkYRcswK32qPzAY</t>
  </si>
  <si>
    <t xml:space="preserve">https://guide.michelin.com/us/en/capital-region/copenhagen/restaurant/lille-molle</t>
  </si>
  <si>
    <t xml:space="preserve">formel B</t>
  </si>
  <si>
    <t xml:space="preserve">Frederiksberg Kommune</t>
  </si>
  <si>
    <t xml:space="preserve">Vesterbrogade 184, 1800 Frederiksberg</t>
  </si>
  <si>
    <t xml:space="preserve">ChIJtxaAuZlTUkYRt9S0ULtIiuA</t>
  </si>
  <si>
    <t xml:space="preserve">https://guide.michelin.com/us/en/capital-region/copenhagen/restaurant/formel-b</t>
  </si>
  <si>
    <t xml:space="preserve">Guide labels 'Copenhagen'; address is Frederiksberg Kommune. In scope, but not for the reason the label implies.</t>
  </si>
  <si>
    <t xml:space="preserve">Udtryk</t>
  </si>
  <si>
    <t xml:space="preserve">Teglgårdstræde 8A, 1452 København</t>
  </si>
  <si>
    <t xml:space="preserve">ChIJn1w7Q6ZTUkYRHVs90CYuMPg</t>
  </si>
  <si>
    <t xml:space="preserve">https://guide.michelin.com/us/en/capital-region/copenhagen/restaurant/udtryk</t>
  </si>
  <si>
    <t xml:space="preserve">Uformel</t>
  </si>
  <si>
    <t xml:space="preserve">Bib Gourmand</t>
  </si>
  <si>
    <t xml:space="preserve">Studiestræde 69, 1554 København</t>
  </si>
  <si>
    <t xml:space="preserve">ChIJSe-tLwxTUkYRMfme3amPWPI</t>
  </si>
  <si>
    <t xml:space="preserve">https://guide.michelin.com/us/en/capital-region/copenhagen/restaurant/uformel</t>
  </si>
  <si>
    <t xml:space="preserve">Radio</t>
  </si>
  <si>
    <t xml:space="preserve">Julius Thomsens Gade 12, 1632 København</t>
  </si>
  <si>
    <t xml:space="preserve">ChIJd6nGjadTUkYR_uqnU-UHNIU</t>
  </si>
  <si>
    <t xml:space="preserve">https://guide.michelin.com/us/en/capital-region/copenhagen/restaurant/radio</t>
  </si>
  <si>
    <t xml:space="preserve">Norrlyst</t>
  </si>
  <si>
    <t xml:space="preserve">Kompagnistræde 8, 1208 København</t>
  </si>
  <si>
    <t xml:space="preserve">ChIJKZN-gpVTUkYRZIA81TOgWQ0</t>
  </si>
  <si>
    <t xml:space="preserve">https://guide.michelin.com/us/en/capital-region/copenhagen/restaurant/norrlyst</t>
  </si>
  <si>
    <t xml:space="preserve">Botschaft</t>
  </si>
  <si>
    <t xml:space="preserve">Ryesgade 25, 2200 København</t>
  </si>
  <si>
    <t xml:space="preserve">ChIJu2Qrd_pTUkYRdaGe0ym5180</t>
  </si>
  <si>
    <t xml:space="preserve">https://guide.michelin.com/us/en/capital-region/copenhagen/restaurant/botschaft</t>
  </si>
  <si>
    <t xml:space="preserve">Bobe</t>
  </si>
  <si>
    <t xml:space="preserve">Gråbrødretorv 11, 1154 København</t>
  </si>
  <si>
    <t xml:space="preserve">ChIJZ_VYz2VTUkYRRmm8b7HNGaY</t>
  </si>
  <si>
    <t xml:space="preserve">https://guide.michelin.com/us/en/capital-region/copenhagen/restaurant/bobe</t>
  </si>
  <si>
    <t xml:space="preserve">Gabrielle</t>
  </si>
  <si>
    <t xml:space="preserve">Vestergade 3, 1456 København</t>
  </si>
  <si>
    <t xml:space="preserve">ChIJiUJH2NJTUkYRHAjn5YaXLAA</t>
  </si>
  <si>
    <t xml:space="preserve">https://guide.michelin.com/us/en/capital-region/copenhagen/restaurant/gabrielle</t>
  </si>
  <si>
    <t xml:space="preserve">Abigail &amp; Co</t>
  </si>
  <si>
    <t xml:space="preserve">Selected</t>
  </si>
  <si>
    <t xml:space="preserve">Nørregade 30, 1165 København</t>
  </si>
  <si>
    <t xml:space="preserve">ChIJ3RsX_XdTUkYRFYi4Z_R5U3c</t>
  </si>
  <si>
    <t xml:space="preserve">https://guide.michelin.com/us/en/capital-region/copenhagen/restaurant/abigail-co</t>
  </si>
  <si>
    <t xml:space="preserve">F0: guide name 'Abigail &amp; Co'; Places returns 'Restaurant Abigail'. Same address, treated as one venue.</t>
  </si>
  <si>
    <t xml:space="preserve">Restaurant Glassalen</t>
  </si>
  <si>
    <t xml:space="preserve">Vesterbrogade 3, 1620 København</t>
  </si>
  <si>
    <t xml:space="preserve">ChIJeRv4oyFTUkYRG9vfeA9nSHE</t>
  </si>
  <si>
    <t xml:space="preserve">https://guide.michelin.com/us/en/capital-region/copenhagen/restaurant/restaurant-glassalen</t>
  </si>
  <si>
    <t xml:space="preserve">Sankt Annæ</t>
  </si>
  <si>
    <t xml:space="preserve">Sankt Annæ Pl. 12, 1250 København</t>
  </si>
  <si>
    <t xml:space="preserve">ChIJhWmN6SJTUkYRKlpUjxJ0eWk</t>
  </si>
  <si>
    <t xml:space="preserve">https://guide.michelin.com/us/en/capital-region/copenhagen/restaurant/sankt-annae</t>
  </si>
  <si>
    <t xml:space="preserve">Aamanns 1921</t>
  </si>
  <si>
    <t xml:space="preserve">Niels Hemmingsens Gade 19, 21, 1153 København</t>
  </si>
  <si>
    <t xml:space="preserve">ChIJoa1vixBTUkYRD8NYW74jRsc</t>
  </si>
  <si>
    <t xml:space="preserve">https://guide.michelin.com/us/en/capital-region/copenhagen/restaurant/aamanns-1921</t>
  </si>
  <si>
    <t xml:space="preserve">Theo</t>
  </si>
  <si>
    <t xml:space="preserve">Skindergade 29, 1159 København</t>
  </si>
  <si>
    <t xml:space="preserve">ChIJ_fVFwHJTUkYRxc_S43Xw8b4</t>
  </si>
  <si>
    <t xml:space="preserve">https://guide.michelin.com/us/en/capital-region/copenhagen/restaurant/theo</t>
  </si>
  <si>
    <t xml:space="preserve">Restaurant Palægade</t>
  </si>
  <si>
    <t xml:space="preserve">Palægade 8, 1261 København</t>
  </si>
  <si>
    <t xml:space="preserve">ChIJMUS-QxhTUkYROwdtv2vfFwQ</t>
  </si>
  <si>
    <t xml:space="preserve">https://guide.michelin.com/us/en/capital-region/copenhagen/restaurant/palaegade</t>
  </si>
  <si>
    <t xml:space="preserve">Restaurant Kanalen</t>
  </si>
  <si>
    <t xml:space="preserve">Wilders Pl. 2, 1403 København</t>
  </si>
  <si>
    <t xml:space="preserve">ChIJL8NdbTxTUkYR-bra61KbZcc</t>
  </si>
  <si>
    <t xml:space="preserve">https://guide.michelin.com/us/en/capital-region/copenhagen/restaurant/kanalen</t>
  </si>
  <si>
    <t xml:space="preserve">Mark</t>
  </si>
  <si>
    <t xml:space="preserve">Axeltorv 3, 1609 København</t>
  </si>
  <si>
    <t xml:space="preserve">ChIJ5Qw1Eo9TUkYRDcfi4Qhax3U</t>
  </si>
  <si>
    <t xml:space="preserve">https://guide.michelin.com/us/en/capital-region/copenhagen/restaurant/mark</t>
  </si>
  <si>
    <t xml:space="preserve">Marchal</t>
  </si>
  <si>
    <t xml:space="preserve">Hotel d'Angleterre, Kongens Nytorv 34, 1050 København</t>
  </si>
  <si>
    <t xml:space="preserve">ChIJtRm9KRhTUkYRhIT68DTO0r8</t>
  </si>
  <si>
    <t xml:space="preserve">https://guide.michelin.com/us/en/capital-region/copenhagen/restaurant/marchal</t>
  </si>
  <si>
    <t xml:space="preserve">venue_type = hotel_restaurant (Hotel d'Angleterre). Qualifies on A1 in its own right per D-028.</t>
  </si>
  <si>
    <t xml:space="preserve">Kadeau Copenhagen</t>
  </si>
  <si>
    <t xml:space="preserve">Wildersgade 10B, 1408 København</t>
  </si>
  <si>
    <t xml:space="preserve">ChIJ1Y52MZlTUkYRuDl4FNhYh_U</t>
  </si>
  <si>
    <t xml:space="preserve">https://guide.michelin.com/us/en/capital-region/copenhagen/restaurant/kadeau-copenhagen</t>
  </si>
  <si>
    <t xml:space="preserve">Kong Hans Kælder</t>
  </si>
  <si>
    <t xml:space="preserve">2 stars</t>
  </si>
  <si>
    <t xml:space="preserve">Vingårdstræde 6, 1070 København</t>
  </si>
  <si>
    <t xml:space="preserve">ChIJXdbkpBdTUkYRO6NpiMExk-w</t>
  </si>
  <si>
    <t xml:space="preserve">https://guide.michelin.com/us/en/capital-region/copenhagen/restaurant/kong-hans-kaelder</t>
  </si>
  <si>
    <t xml:space="preserve">Alchemist</t>
  </si>
  <si>
    <t xml:space="preserve">Refshalevej 173C, 1432 København</t>
  </si>
  <si>
    <t xml:space="preserve">ChIJGbFWVvBSUkYR5x0i6Z836Ao</t>
  </si>
  <si>
    <t xml:space="preserve">https://guide.michelin.com/us/en/capital-region/copenhagen/restaurant/alchemist</t>
  </si>
  <si>
    <t xml:space="preserve">Koan</t>
  </si>
  <si>
    <t xml:space="preserve">Langeliniekaj 5, 2100 København</t>
  </si>
  <si>
    <t xml:space="preserve">ChIJoxbQhIBTUkYR15NWp69nCt0</t>
  </si>
  <si>
    <t xml:space="preserve">https://guide.michelin.com/us/en/capital-region/copenhagen/restaurant/koan</t>
  </si>
  <si>
    <t xml:space="preserve">a|o|c</t>
  </si>
  <si>
    <t xml:space="preserve">Dronningens Tværgade 2, 1302 København</t>
  </si>
  <si>
    <t xml:space="preserve">ChIJM6fyhhhTUkYRy5Y4y78NEYU</t>
  </si>
  <si>
    <t xml:space="preserve">https://guide.michelin.com/us/en/capital-region/copenhagen/restaurant/a%E2%80%9Ao%E2%80%9Ac</t>
  </si>
  <si>
    <t xml:space="preserve">akmē</t>
  </si>
  <si>
    <t xml:space="preserve">Sandkaj 39, 2150 København</t>
  </si>
  <si>
    <t xml:space="preserve">ChIJ97znST9TUkYRXKSLIQ5ezzc</t>
  </si>
  <si>
    <t xml:space="preserve">https://guide.michelin.com/us/en/capital-region/copenhagen/restaurant/akme</t>
  </si>
  <si>
    <t xml:space="preserve">Aure</t>
  </si>
  <si>
    <t xml:space="preserve">Krudtløbsvej 8, 1439 København</t>
  </si>
  <si>
    <t xml:space="preserve">ChIJV_8E0sJTUkYRRlJfxBk5d6k</t>
  </si>
  <si>
    <t xml:space="preserve">https://guide.michelin.com/us/en/capital-region/copenhagen/restaurant/restaurant-aure</t>
  </si>
  <si>
    <t xml:space="preserve">Sushi Anaba</t>
  </si>
  <si>
    <t xml:space="preserve">Mariehamngade 23, 2150 København</t>
  </si>
  <si>
    <t xml:space="preserve">ChIJc7_JfGlTUkYRbVK5FOovyOs</t>
  </si>
  <si>
    <t xml:space="preserve">https://guide.michelin.com/us/en/capital-region/copenhagen/restaurant/sushi-anaba</t>
  </si>
  <si>
    <t xml:space="preserve">ESSE</t>
  </si>
  <si>
    <t xml:space="preserve">Trelleborggade 13a, 2100 København</t>
  </si>
  <si>
    <t xml:space="preserve">ChIJZ7egZwBTUkYRAQ5WQBRR2nM</t>
  </si>
  <si>
    <t xml:space="preserve">https://guide.michelin.com/us/en/capital-region/copenhagen/restaurant/esse</t>
  </si>
  <si>
    <t xml:space="preserve">Alouette</t>
  </si>
  <si>
    <t xml:space="preserve">Kronprinsessegade 8, 1306 København</t>
  </si>
  <si>
    <t xml:space="preserve">ChIJcXrr90dTUkYRNJo6gjI26uk</t>
  </si>
  <si>
    <t xml:space="preserve">https://guide.michelin.com/us/en/capital-region/copenhagen/restaurant/alouette</t>
  </si>
  <si>
    <t xml:space="preserve">texture</t>
  </si>
  <si>
    <t xml:space="preserve">Sølvgade 86, 1307 København</t>
  </si>
  <si>
    <t xml:space="preserve">ChIJRxVkAFJTUkYRGaQE2cWK7fU</t>
  </si>
  <si>
    <t xml:space="preserve">https://guide.michelin.com/us/en/capital-region/copenhagen/restaurant/texture-1215658</t>
  </si>
  <si>
    <t xml:space="preserve">Jatak</t>
  </si>
  <si>
    <t xml:space="preserve">Rantzausgade 39, 2200 København</t>
  </si>
  <si>
    <t xml:space="preserve">ChIJu7H8HXxTUkYRuLKQbQU824w</t>
  </si>
  <si>
    <t xml:space="preserve">https://guide.michelin.com/us/en/capital-region/copenhagen/restaurant/jatak</t>
  </si>
  <si>
    <t xml:space="preserve">Petra Bar &amp; Restaurant</t>
  </si>
  <si>
    <t xml:space="preserve">Dronningens Tværgade 45, 1302 København</t>
  </si>
  <si>
    <t xml:space="preserve">ChIJ0Uu25mBTUkYR9yLg_mzJs1I</t>
  </si>
  <si>
    <t xml:space="preserve">https://guide.michelin.com/us/en/capital-region/copenhagen/restaurant/petra-bar-restaurant</t>
  </si>
  <si>
    <t xml:space="preserve">Restaurant Frank</t>
  </si>
  <si>
    <t xml:space="preserve">Grønnegade 33, 1107 København</t>
  </si>
  <si>
    <t xml:space="preserve">ChIJkZpy0xlTUkYRcypj3SGxtgQ</t>
  </si>
  <si>
    <t xml:space="preserve">https://guide.michelin.com/us/en/capital-region/copenhagen/restaurant/frank569608</t>
  </si>
  <si>
    <t xml:space="preserve">Sanchez</t>
  </si>
  <si>
    <t xml:space="preserve">Istedgade 60, 1658 København</t>
  </si>
  <si>
    <t xml:space="preserve">ChIJSybl9nRTUkYRDTUvZhSgv5k</t>
  </si>
  <si>
    <t xml:space="preserve">https://guide.michelin.com/us/en/capital-region/copenhagen/restaurant/sanchez</t>
  </si>
  <si>
    <t xml:space="preserve">no.2</t>
  </si>
  <si>
    <t xml:space="preserve">Nicolai Eigtveds Gade 32, 1402 København</t>
  </si>
  <si>
    <t xml:space="preserve">ChIJg_vhKz5TUkYR7GN5bOpKpHI</t>
  </si>
  <si>
    <t xml:space="preserve">https://guide.michelin.com/us/en/capital-region/copenhagen/restaurant/no-2</t>
  </si>
  <si>
    <t xml:space="preserve">Enomania</t>
  </si>
  <si>
    <t xml:space="preserve">Vesterbrogade 187, 1800 Frederiksberg</t>
  </si>
  <si>
    <t xml:space="preserve">ChIJYw9uaJdTUkYRsOa9paHwFU0</t>
  </si>
  <si>
    <t xml:space="preserve">https://guide.michelin.com/us/en/capital-region/copenhagen/restaurant/enomania</t>
  </si>
  <si>
    <t xml:space="preserve">Silberbauers Bistro</t>
  </si>
  <si>
    <t xml:space="preserve">Jægersborggade 40, 2200 København</t>
  </si>
  <si>
    <t xml:space="preserve">ChIJYX5oGcJTUkYRMEjS3-IeMBk</t>
  </si>
  <si>
    <t xml:space="preserve">https://guide.michelin.com/us/en/capital-region/copenhagen/restaurant/silberbauers-bistro</t>
  </si>
  <si>
    <t xml:space="preserve">Rebel</t>
  </si>
  <si>
    <t xml:space="preserve">Store Kongensgade 52, 1264 København</t>
  </si>
  <si>
    <t xml:space="preserve">ChIJp96W7RhTUkYRN1oYKEENdjQ</t>
  </si>
  <si>
    <t xml:space="preserve">https://guide.michelin.com/us/en/capital-region/copenhagen/restaurant/rebel</t>
  </si>
  <si>
    <t xml:space="preserve">Pluto</t>
  </si>
  <si>
    <t xml:space="preserve">Borgergade 16, 1300 København</t>
  </si>
  <si>
    <t xml:space="preserve">ChIJnRZCABlTUkYRdbR4fra9eNQ</t>
  </si>
  <si>
    <t xml:space="preserve">https://guide.michelin.com/us/en/capital-region/copenhagen/restaurant/pluto</t>
  </si>
  <si>
    <t xml:space="preserve">Anarki</t>
  </si>
  <si>
    <t xml:space="preserve">Vodroffsvej 47, 1900 Frederiksberg</t>
  </si>
  <si>
    <t xml:space="preserve">ChIJxbhE5wlTUkYR_7gCKTivwqs</t>
  </si>
  <si>
    <t xml:space="preserve">https://guide.michelin.com/us/en/capital-region/copenhagen/restaurant/anarki</t>
  </si>
  <si>
    <t xml:space="preserve">Marv &amp; Ben</t>
  </si>
  <si>
    <t xml:space="preserve">Snaregade 4, 1205 København</t>
  </si>
  <si>
    <t xml:space="preserve">ChIJjZNJOBFTUkYRXsKrS_T8jPY</t>
  </si>
  <si>
    <t xml:space="preserve">https://guide.michelin.com/us/en/capital-region/copenhagen/restaurant/marv-ben</t>
  </si>
  <si>
    <t xml:space="preserve">Mêlée</t>
  </si>
  <si>
    <t xml:space="preserve">Martensens Allé 16, 1828 Frederiksberg</t>
  </si>
  <si>
    <t xml:space="preserve">ChIJsc96MKJTUkYRtgsRhPo3Zvw</t>
  </si>
  <si>
    <t xml:space="preserve">https://guide.michelin.com/us/en/capital-region/copenhagen/restaurant/melee</t>
  </si>
  <si>
    <t xml:space="preserve">Graziano</t>
  </si>
  <si>
    <t xml:space="preserve">Møllegade 13, 2200 København</t>
  </si>
  <si>
    <t xml:space="preserve">ChIJ-afUl1pTUkYRPtUAc4pkAKk</t>
  </si>
  <si>
    <t xml:space="preserve">https://guide.michelin.com/us/en/capital-region/copenhagen/restaurant/graziano</t>
  </si>
  <si>
    <t xml:space="preserve">Selma</t>
  </si>
  <si>
    <t xml:space="preserve">Rømersgade 20, 1362 København</t>
  </si>
  <si>
    <t xml:space="preserve">ChIJ4R8rop9TUkYRmvDmmb-gVOw</t>
  </si>
  <si>
    <t xml:space="preserve">https://guide.michelin.com/us/en/capital-region/copenhagen/restaurant/selma</t>
  </si>
  <si>
    <t xml:space="preserve">Calma</t>
  </si>
  <si>
    <t xml:space="preserve">Jægersborggade 34, 2200 København</t>
  </si>
  <si>
    <t xml:space="preserve">ChIJBaNmBoJTUkYRrsaRZR-yjgw</t>
  </si>
  <si>
    <t xml:space="preserve">https://guide.michelin.com/us/en/capital-region/copenhagen/restaurant/calma</t>
  </si>
  <si>
    <t xml:space="preserve">Bistro Lupa</t>
  </si>
  <si>
    <t xml:space="preserve">Marstalsgade 8, 2100 København</t>
  </si>
  <si>
    <t xml:space="preserve">ChIJs0sknTtTUkYRp4JWLJtE6iU</t>
  </si>
  <si>
    <t xml:space="preserve">https://guide.michelin.com/us/en/capital-region/copenhagen/restaurant/bistro-lupa</t>
  </si>
  <si>
    <t xml:space="preserve">Koefoed</t>
  </si>
  <si>
    <t xml:space="preserve">Landgreven 3, 1301 København</t>
  </si>
  <si>
    <t xml:space="preserve">ChIJSUn9UxhTUkYRYd5e3r3hbYY</t>
  </si>
  <si>
    <t xml:space="preserve">https://guide.michelin.com/us/en/capital-region/copenhagen/restaurant/koefoed</t>
  </si>
  <si>
    <t xml:space="preserve">Paesàno</t>
  </si>
  <si>
    <t xml:space="preserve">Jægersborggade 41, kl, 2200 København</t>
  </si>
  <si>
    <t xml:space="preserve">ChIJqxBDTOtTUkYRyApMyChMNoA</t>
  </si>
  <si>
    <t xml:space="preserve">https://guide.michelin.com/us/en/capital-region/copenhagen/restaurant/paesano</t>
  </si>
  <si>
    <t xml:space="preserve">Levi</t>
  </si>
  <si>
    <t xml:space="preserve">Ny Østergade 24, 1101 København</t>
  </si>
  <si>
    <t xml:space="preserve">ChIJOyGohitTUkYRWv3PpzYnh7w</t>
  </si>
  <si>
    <t xml:space="preserve">https://guide.michelin.com/us/en/capital-region/copenhagen/restaurant/levi</t>
  </si>
  <si>
    <t xml:space="preserve">page 2</t>
  </si>
  <si>
    <t xml:space="preserve">Fasangården</t>
  </si>
  <si>
    <t xml:space="preserve">Søndre Fasanvej 73, 2000 Frederiksberg</t>
  </si>
  <si>
    <t xml:space="preserve">ChIJZ3CctrNTUkYR_r2fhzO8Qgo</t>
  </si>
  <si>
    <t xml:space="preserve">https://guide.michelin.com/us/en/capital-region/copenhagen/restaurant/fasangarden</t>
  </si>
  <si>
    <t xml:space="preserve">Restaurant Anton</t>
  </si>
  <si>
    <t xml:space="preserve">Store Strandstræde 3, 1255 København</t>
  </si>
  <si>
    <t xml:space="preserve">ChIJmem1rURTUkYRQoaLTrtNF9g</t>
  </si>
  <si>
    <t xml:space="preserve">https://guide.michelin.com/us/en/capital-region/copenhagen/restaurant/restaurant-anton</t>
  </si>
  <si>
    <t xml:space="preserve">Ark</t>
  </si>
  <si>
    <t xml:space="preserve">Nørre Farimagsgade 63, 1364 København</t>
  </si>
  <si>
    <t xml:space="preserve">ChIJA_-cUgRTUkYR2S4zKT6ne94</t>
  </si>
  <si>
    <t xml:space="preserve">https://guide.michelin.com/us/en/capital-region/copenhagen/restaurant/ark</t>
  </si>
  <si>
    <t xml:space="preserve">Kødbyens Fiskebar</t>
  </si>
  <si>
    <t xml:space="preserve">Flæsketorvet 100, 1711 København</t>
  </si>
  <si>
    <t xml:space="preserve">ChIJ6a9VvnNTUkYR70EJ8UFFlv0</t>
  </si>
  <si>
    <t xml:space="preserve">https://guide.michelin.com/us/en/capital-region/copenhagen/restaurant/kodbyens-fiskebar</t>
  </si>
  <si>
    <t xml:space="preserve">Høst</t>
  </si>
  <si>
    <t xml:space="preserve">Nørre Farimagsgade 41, 1364 København</t>
  </si>
  <si>
    <t xml:space="preserve">ChIJRQ8L7QVTUkYRVW6qA8zFQpg</t>
  </si>
  <si>
    <t xml:space="preserve">https://guide.michelin.com/us/en/capital-region/copenhagen/restaurant/host</t>
  </si>
  <si>
    <t xml:space="preserve">Barr</t>
  </si>
  <si>
    <t xml:space="preserve">Strandgade 93, 1401 København</t>
  </si>
  <si>
    <t xml:space="preserve">ChIJpYCQZztTUkYRb2QOlnW8vvE</t>
  </si>
  <si>
    <t xml:space="preserve">https://guide.michelin.com/us/en/capital-region/copenhagen/restaurant/barr</t>
  </si>
  <si>
    <t xml:space="preserve">The Pescatarian</t>
  </si>
  <si>
    <t xml:space="preserve">Amaliegade 49, 1256 København</t>
  </si>
  <si>
    <t xml:space="preserve">ChIJG0wuOUlTUkYRNkeP030CboA</t>
  </si>
  <si>
    <t xml:space="preserve">https://guide.michelin.com/us/en/capital-region/copenhagen/restaurant/the-pescatarian</t>
  </si>
  <si>
    <t xml:space="preserve">Kiin Kiin VeVe</t>
  </si>
  <si>
    <t xml:space="preserve">Dampfærgevej 7, 2100 København</t>
  </si>
  <si>
    <t xml:space="preserve">ChIJi4qvSedSUkYR2yXSzlt_sEM</t>
  </si>
  <si>
    <t xml:space="preserve">https://guide.michelin.com/us/en/capital-region/copenhagen/restaurant/kiin-kiin-veve</t>
  </si>
  <si>
    <t xml:space="preserve">F0: guide name 'Kiin Kiin VeVe'; Places returns 'Veve'. Same address, treated as one venue.</t>
  </si>
  <si>
    <t xml:space="preserve">Aotori</t>
  </si>
  <si>
    <t xml:space="preserve">Øster Farimagsgade 93, 2100 København</t>
  </si>
  <si>
    <t xml:space="preserve">ChIJiWs_L6VTUkYRS2njduWvzZA</t>
  </si>
  <si>
    <t xml:space="preserve">https://guide.michelin.com/us/en/capital-region/copenhagen/restaurant/kappo-ando</t>
  </si>
  <si>
    <t xml:space="preserve">F0: guide URL slug is 'kappo-ando', display name 'Aotori'; Places returns 'Aotori / Akaton' — two concepts at one address. Needs an operator decision before collection.</t>
  </si>
  <si>
    <t xml:space="preserve">Kiin Kiin</t>
  </si>
  <si>
    <t xml:space="preserve">Guldbergsgade 21, 2200 København</t>
  </si>
  <si>
    <t xml:space="preserve">ChIJSRTl7WNTUkYRJXpAtSgMeVo</t>
  </si>
  <si>
    <t xml:space="preserve">https://guide.michelin.com/us/en/capital-region/copenhagen/restaurant/kiin-kiin</t>
  </si>
  <si>
    <t xml:space="preserve">Møntergade</t>
  </si>
  <si>
    <t xml:space="preserve">Møntergade 19, 1120 København</t>
  </si>
  <si>
    <t xml:space="preserve">ChIJnd0AwJVTUkYRrFyxfFwuEYw</t>
  </si>
  <si>
    <t xml:space="preserve">https://guide.michelin.com/us/en/capital-region/copenhagen/restaurant/montergade</t>
  </si>
  <si>
    <t xml:space="preserve">Krogs Fiskerestaurant</t>
  </si>
  <si>
    <t xml:space="preserve">Gammel Strand 38, 1202 København</t>
  </si>
  <si>
    <t xml:space="preserve">ChIJ4VOX0hZTUkYRPrHTyGp1LmI</t>
  </si>
  <si>
    <t xml:space="preserve">https://guide.michelin.com/us/en/capital-region/copenhagen/restaurant/krogs-fiskerestaurant</t>
  </si>
  <si>
    <t xml:space="preserve">Magny</t>
  </si>
  <si>
    <t xml:space="preserve">Ny Adelgade 3, 1104 København</t>
  </si>
  <si>
    <t xml:space="preserve">ChIJP0ubtI1TUkYR7hN2eqZ0OYY</t>
  </si>
  <si>
    <t xml:space="preserve">https://guide.michelin.com/us/en/capital-region/copenhagen/restaurant/magny</t>
  </si>
  <si>
    <t xml:space="preserve">à terre</t>
  </si>
  <si>
    <t xml:space="preserve">Tordenskjoldsgade 11, 1055 København</t>
  </si>
  <si>
    <t xml:space="preserve">ChIJ-fk2NRBTUkYRyhj40xrfESA</t>
  </si>
  <si>
    <t xml:space="preserve">https://guide.michelin.com/us/en/capital-region/copenhagen/restaurant/a-terre</t>
  </si>
  <si>
    <t xml:space="preserve">Amalie</t>
  </si>
  <si>
    <t xml:space="preserve">Amaliegade 11, 1256 København</t>
  </si>
  <si>
    <t xml:space="preserve">ChIJ2zHfWCJTUkYRtwCsk6_J7YA</t>
  </si>
  <si>
    <t xml:space="preserve">https://guide.michelin.com/us/en/capital-region/copenhagen/restaurant/amalie</t>
  </si>
  <si>
    <t xml:space="preserve">Vækst</t>
  </si>
  <si>
    <t xml:space="preserve">Sankt Peders Stræde 34, 1453 København</t>
  </si>
  <si>
    <t xml:space="preserve">ChIJvY9hWg5TUkYRZiYvRZFtDyU</t>
  </si>
  <si>
    <t xml:space="preserve">https://guide.michelin.com/us/en/capital-region/copenhagen/restaurant/vaekst</t>
  </si>
  <si>
    <t xml:space="preserve">Admiralgade 26</t>
  </si>
  <si>
    <t xml:space="preserve">Admiralgade 26, 1066 København</t>
  </si>
  <si>
    <t xml:space="preserve">ChIJaf5c-RZTUkYROL7MbAnhjrA</t>
  </si>
  <si>
    <t xml:space="preserve">https://guide.michelin.com/us/en/capital-region/copenhagen/restaurant/admiralgade-26</t>
  </si>
  <si>
    <t xml:space="preserve">Mielcke &amp; Hurtigkarl</t>
  </si>
  <si>
    <t xml:space="preserve">Frederiksberg Runddel 1, 2000 Frederiksberg</t>
  </si>
  <si>
    <t xml:space="preserve">ChIJvXWLfb1TUkYRyupc-CtZRsA</t>
  </si>
  <si>
    <t xml:space="preserve">https://guide.michelin.com/us/en/capital-region/copenhagen/restaurant/mielcke-hurtigkarl</t>
  </si>
  <si>
    <t xml:space="preserve">Restaurant VIE</t>
  </si>
  <si>
    <t xml:space="preserve">Nordhavn</t>
  </si>
  <si>
    <t xml:space="preserve">Århusgade 128E, 2150 København</t>
  </si>
  <si>
    <t xml:space="preserve">ChIJR4W9ZABTUkYRwo3H0nwNzn8</t>
  </si>
  <si>
    <t xml:space="preserve">https://guide.michelin.com/us/en/capital-region/nordhavn_7770461/restaurant/restaurant-vie</t>
  </si>
  <si>
    <t xml:space="preserve">Guide files under locality 'Nordhavn'; address 2150 København = Københavns Kommune. A city-label filter would have wrongly excluded this venue.</t>
  </si>
  <si>
    <t xml:space="preserve">Jordnær</t>
  </si>
  <si>
    <t xml:space="preserve">Gentofte</t>
  </si>
  <si>
    <t xml:space="preserve">Gentofte Kommune</t>
  </si>
  <si>
    <t xml:space="preserve">Gentoftegade 29, 2820 Gentofte</t>
  </si>
  <si>
    <t xml:space="preserve">ChIJWxyiJPFNUkYRTp10-YnYcNg</t>
  </si>
  <si>
    <t xml:space="preserve">outside_boundary</t>
  </si>
  <si>
    <t xml:space="preserve">https://guide.michelin.com/us/en/capital-region/gentofte_1373269/restaurant/jordnaer</t>
  </si>
  <si>
    <t xml:space="preserve">Fails F1 on the RESOLVED ADDRESS — Gentoftegade 29, 2820 Gentofte, which is Gentofte Kommune, outside Københavns + Frederiksberg. Note corrected 2026-08-01: it previously read 'fails F1 on the guide's city label', which cites the wrong evidence. 21 §12.1 requires F1 to be applied to resolved addresses only, because MICHELIN's city label is not a boundary. Verdict unchanged.</t>
  </si>
  <si>
    <t xml:space="preserve">Parsley Salon</t>
  </si>
  <si>
    <t xml:space="preserve">Hellerup</t>
  </si>
  <si>
    <t xml:space="preserve">Strandvejen 203, 2900 Hellerup</t>
  </si>
  <si>
    <t xml:space="preserve">ChIJhTbZQNNTUkYRrlURja_vdgM</t>
  </si>
  <si>
    <t xml:space="preserve">https://guide.michelin.com/us/en/capital-region/hellerup_7770408/restaurant/parsley-salon</t>
  </si>
  <si>
    <t xml:space="preserve">Fails F1 on the RESOLVED ADDRESS — Strandvejen 203, 2900 Hellerup, which is Gentofte Kommune, outside Københavns + Frederiksberg. Note corrected 2026-08-01: it previously read 'fails F1 on the guide's city label', which cites the wrong evidence. 21 §12.1 requires F1 to be applied to resolved addresses only, because MICHELIN's city label is not a boundary. Verdict unchanged.</t>
  </si>
  <si>
    <t xml:space="preserve">The Samuel</t>
  </si>
  <si>
    <t xml:space="preserve">Hellerupvej 40, 2900 Hellerup</t>
  </si>
  <si>
    <t xml:space="preserve">ChIJ97nnHBpTUkYRtJSEQUisX6o</t>
  </si>
  <si>
    <t xml:space="preserve">https://guide.michelin.com/us/en/capital-region/hellerup_7770408/restaurant/the-samuel</t>
  </si>
  <si>
    <t xml:space="preserve">Fails F1 on the RESOLVED ADDRESS — Hellerupvej 40, 2900 Hellerup, which is Gentofte Kommune, outside Københavns + Frederiksberg. Note corrected 2026-08-01: it previously read 'fails F1 on the guide's city label', which cites the wrong evidence. 21 §12.1 requires F1 to be applied to resolved addresses only, because MICHELIN's city label is not a boundary. Verdict unchanged.</t>
  </si>
  <si>
    <t xml:space="preserve">Søllerød Kro</t>
  </si>
  <si>
    <t xml:space="preserve">Holte</t>
  </si>
  <si>
    <t xml:space="preserve">Rudersdal Kommune</t>
  </si>
  <si>
    <t xml:space="preserve">Søllerødvej 35, 2840 Søllerød</t>
  </si>
  <si>
    <t xml:space="preserve">ChIJua9HeudOUkYRDn953dEtd1Y</t>
  </si>
  <si>
    <t xml:space="preserve">https://guide.michelin.com/us/en/capital-region/holte_1374367/restaurant/sollerod-kro</t>
  </si>
  <si>
    <t xml:space="preserve">Fails F1 on the RESOLVED ADDRESS — Søllerødvej 35, 2840 Søllerød, which is Rudersdal Kommune, outside Københavns + Frederiksberg. Note corrected 2026-08-01: it previously read 'fails F1 on the guide's city label', which cites the wrong evidence. 21 §12.1 requires F1 to be applied to resolved addresses only, because MICHELIN's city label is not a boundary. Verdict unchanged.</t>
  </si>
  <si>
    <t xml:space="preserve">Vollmers</t>
  </si>
  <si>
    <t xml:space="preserve">Malmo</t>
  </si>
  <si>
    <t xml:space="preserve">Malmö kommun, Sweden</t>
  </si>
  <si>
    <t xml:space="preserve">Malmö, Sweden</t>
  </si>
  <si>
    <t xml:space="preserve">not resolved</t>
  </si>
  <si>
    <t xml:space="preserve">https://guide.michelin.com/us/en/skane/malmo/restaurant/vollmers</t>
  </si>
  <si>
    <t xml:space="preserve">Fails F1 on the guide's city label. Sweden — Michelin's 'Copenhagen and surroundings' crosses the Øresund.</t>
  </si>
  <si>
    <t xml:space="preserve">Västergatan</t>
  </si>
  <si>
    <t xml:space="preserve">https://guide.michelin.com/us/en/skane/malmo/restaurant/vastergatan</t>
  </si>
  <si>
    <t xml:space="preserve">Ruths</t>
  </si>
  <si>
    <t xml:space="preserve">https://guide.michelin.com/us/en/skane/malmo/restaurant/ruths</t>
  </si>
  <si>
    <t xml:space="preserve">Namu</t>
  </si>
  <si>
    <t xml:space="preserve">https://guide.michelin.com/us/en/skane/malmo/restaurant/namu</t>
  </si>
  <si>
    <t xml:space="preserve">Mutantur</t>
  </si>
  <si>
    <t xml:space="preserve">https://guide.michelin.com/us/en/skane/malmo/restaurant/mutantur</t>
  </si>
  <si>
    <t xml:space="preserve">Kockeriet</t>
  </si>
  <si>
    <t xml:space="preserve">https://guide.michelin.com/us/en/skane/malmo/restaurant/kockeriet</t>
  </si>
  <si>
    <t xml:space="preserve">Bloom in the Park</t>
  </si>
  <si>
    <t xml:space="preserve">https://guide.michelin.com/us/en/skane/malmo/restaurant/bloom-in-the-park</t>
  </si>
  <si>
    <t xml:space="preserve">Lyran Matbar</t>
  </si>
  <si>
    <t xml:space="preserve">https://guide.michelin.com/us/en/skane/malmo/restaurant/lyran</t>
  </si>
  <si>
    <t xml:space="preserve">aster</t>
  </si>
  <si>
    <t xml:space="preserve">https://guide.michelin.com/us/en/skane/malmo/restaurant/aster-1203662</t>
  </si>
  <si>
    <t xml:space="preserve">Restaurang Atmosfär</t>
  </si>
  <si>
    <t xml:space="preserve">https://guide.michelin.com/us/en/skane/malmo/restaurant/atmosfar</t>
  </si>
  <si>
    <t xml:space="preserve">Brasserie Sture 1912</t>
  </si>
  <si>
    <t xml:space="preserve">https://guide.michelin.com/us/en/skane/malmo/restaurant/brasserie-sture</t>
  </si>
  <si>
    <t xml:space="preserve">COUNTS — every one states its denominator</t>
  </si>
  <si>
    <t xml:space="preserve">A1 candidates enumerated (guide's stated total: 83)</t>
  </si>
  <si>
    <t xml:space="preserve">  3 stars (guide states 3)</t>
  </si>
  <si>
    <t xml:space="preserve">  2 stars (guide states 5)</t>
  </si>
  <si>
    <t xml:space="preserve">  1 star (guide states 14)</t>
  </si>
  <si>
    <t xml:space="preserve">  Bib Gourmand (guide states 29)</t>
  </si>
  <si>
    <t xml:space="preserve">  Selected (guide states 32)</t>
  </si>
  <si>
    <t xml:space="preserve">Fail F1 — outside_boundary (4 on the resolved address, 11 on country: Malmö rows are unresolved)</t>
  </si>
  <si>
    <t xml:space="preserve">  of which Malmö, Sweden</t>
  </si>
  <si>
    <t xml:space="preserve">Pass F1 — of which Københavns Kommune</t>
  </si>
  <si>
    <t xml:space="preserve">Pass F1 — of which Frederiksberg Kommune</t>
  </si>
  <si>
    <t xml:space="preserve">F0 resolved to exactly one venue (address + place_id)</t>
  </si>
  <si>
    <t xml:space="preserve">F0 not resolved (Malmö — excluded on country, not resolved)</t>
  </si>
  <si>
    <t xml:space="preserve">Pass F1 — Københavns + Frederiksberg Kommune</t>
  </si>
  <si>
    <t xml:space="preserve">CHECK — tier counts must sum to candidates enumerated (D-032, made mechanical)</t>
  </si>
  <si>
    <t xml:space="preserve">CHECK — F1 pass + F1 fail must equal candidates enumerated</t>
  </si>
  <si>
    <t xml:space="preserve">CHECK — the two kommune lines must equal the F1 pass count</t>
  </si>
  <si>
    <t xml:space="preserve">CHECK — F0 resolved + not resolved must equal candidates enumerated</t>
  </si>
  <si>
    <t xml:space="preserve">CHECK ROWS ADDED 2026-08-01. Every count block in this project carries one; A1 was owed the same guard A2 and the prediction ledger already had. All four must read PASS.</t>
  </si>
  <si>
    <t xml:space="preserve">NOTE CORRECTION 2026-08-01: rows 73-76 previously recorded the guide's city label as the basis for their F1 failure. All four have resolved addresses and resolved kommunes, so they fail on the resolved address, per 21 §12.1. Counts unaffected. See D-045.</t>
  </si>
  <si>
    <t xml:space="preserve">D-032 count assertion PASSED: all five tier counts and the total reconcile against the guide's own stated figures.</t>
  </si>
  <si>
    <t xml:space="preserve">How to read this file</t>
  </si>
  <si>
    <t xml:space="preserve">What this is</t>
  </si>
  <si>
    <t xml:space="preserve">The complete Route A1 pool for Copenhagen from MICHELIN Guide Nordic Countries 2026, enumerated in full.</t>
  </si>
  <si>
    <t xml:space="preserve">What it is not</t>
  </si>
  <si>
    <t xml:space="preserve">Not the frame. A2 and Route B are not applied, so venues qualifying only on those routes are absent.</t>
  </si>
  <si>
    <t xml:space="preserve">Source</t>
  </si>
  <si>
    <t xml:space="preserve">guide.michelin.com, Copenhagen listing, pages 1 and 2. Retrieved via Firecrawl, proxy=basic, HTTP 200. No stealth mode, no proxy rotation — robots.txt grants named AI crawlers unrestricted access (06 §4).</t>
  </si>
  <si>
    <t xml:space="preserve">Count assertion (D-032)</t>
  </si>
  <si>
    <t xml:space="preserve">The guide states 83 restaurants and gives per-tier facet counts of 3/5/14/29/32. Rows parsed: 83, tiers 3/5/14/29/32. Exact match on all six figures. The run would have halted on any mismatch.</t>
  </si>
  <si>
    <t xml:space="preserve">Parsing (D-031)</t>
  </si>
  <si>
    <t xml:space="preserve">Pages scraped to markdown and parsed deterministically. No LLM extraction was used to decide what is on the list.</t>
  </si>
  <si>
    <t xml:space="preserve">observed_at differs by page</t>
  </si>
  <si>
    <t xml:space="preserve">Page 1 came from Firecrawl's cache dated 2026-07-28 — the frame date exactly. Page 2 was fetched live on 2026-07-30 with maxAge=0. Both dates sit inside the same guide edition (published 1 June 2026), so the selection is identical; the dates are recorded per row rather than smoothed.</t>
  </si>
  <si>
    <t xml:space="preserve">F1 is PROVISIONAL</t>
  </si>
  <si>
    <t xml:space="preserve">Verdicts come from the guide's own city label, not a resolved address. Doc 21 §3 requires F0 resolution to a street address and google_place_id before F1 is applied. The label is known to be unreliable: Michelin's own ceremony article calls Søllerød Kro 'Copenhagen' though it is in Rudersdal Kommune, 15km away.</t>
  </si>
  <si>
    <t xml:space="preserve">Two label traps already found</t>
  </si>
  <si>
    <t xml:space="preserve">formel B is labelled 'Copenhagen' but sits in Frederiksberg Kommune — in scope, and would be wrongly kept for the wrong reason. Nordhavn is filed as a separate locality but is inside Københavns Kommune — Restaurant VIE is in scope and a naive city-label filter would drop it.</t>
  </si>
  <si>
    <t xml:space="preserve">Blank cells</t>
  </si>
  <si>
    <t xml:space="preserve">Not looked at. Never 'no'.</t>
  </si>
  <si>
    <t xml:space="preserve">FALSE on every row. No cohort has been drawn; the seed 20260728 has not been used.</t>
  </si>
</sst>
</file>

<file path=xl/styles.xml><?xml version="1.0" encoding="utf-8"?>
<styleSheet xmlns="http://schemas.openxmlformats.org/spreadsheetml/2006/main">
  <numFmts count="2">
    <numFmt numFmtId="164" formatCode="General"/>
    <numFmt numFmtId="165" formatCode="General"/>
  </numFmts>
  <fonts count="12">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10"/>
      <color rgb="FF808080"/>
      <name val="Arial"/>
      <family val="0"/>
      <charset val="1"/>
    </font>
    <font>
      <b val="true"/>
      <sz val="10"/>
      <color rgb="FFFFFFFF"/>
      <name val="Arial"/>
      <family val="0"/>
      <charset val="1"/>
    </font>
    <font>
      <sz val="10"/>
      <name val="Arial"/>
      <family val="0"/>
      <charset val="1"/>
    </font>
    <font>
      <b val="true"/>
      <sz val="10"/>
      <color rgb="FFC00000"/>
      <name val="Arial"/>
      <family val="0"/>
      <charset val="1"/>
    </font>
    <font>
      <b val="true"/>
      <sz val="10"/>
      <name val="Arial"/>
      <family val="0"/>
      <charset val="1"/>
    </font>
    <font>
      <i val="true"/>
      <sz val="9"/>
      <name val="Arial"/>
      <family val="0"/>
      <charset val="1"/>
    </font>
    <font>
      <i val="true"/>
      <sz val="9"/>
      <color rgb="FFB00000"/>
      <name val="Arial"/>
      <family val="0"/>
      <charset val="1"/>
    </font>
  </fonts>
  <fills count="4">
    <fill>
      <patternFill patternType="none"/>
    </fill>
    <fill>
      <patternFill patternType="gray125"/>
    </fill>
    <fill>
      <patternFill patternType="solid">
        <fgColor rgb="FF333333"/>
        <bgColor rgb="FF333300"/>
      </patternFill>
    </fill>
    <fill>
      <patternFill patternType="solid">
        <fgColor rgb="FFFFF2CC"/>
        <bgColor rgb="FFFFFFFF"/>
      </patternFill>
    </fill>
  </fills>
  <borders count="2">
    <border diagonalUp="false" diagonalDown="false">
      <left/>
      <right/>
      <top/>
      <bottom/>
      <diagonal/>
    </border>
    <border diagonalUp="false" diagonalDown="false">
      <left/>
      <right/>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B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1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9"/>
    <col collapsed="false" customWidth="true" hidden="false" outlineLevel="0" max="3" min="3" style="0" width="9"/>
    <col collapsed="false" customWidth="true" hidden="false" outlineLevel="0" max="4" min="4" style="0" width="14"/>
    <col collapsed="false" customWidth="true" hidden="false" outlineLevel="0" max="5" min="5" style="0" width="20"/>
    <col collapsed="false" customWidth="true" hidden="false" outlineLevel="0" max="6" min="6" style="0" width="34"/>
    <col collapsed="false" customWidth="true" hidden="false" outlineLevel="0" max="7" min="7" style="0" width="30"/>
    <col collapsed="false" customWidth="true" hidden="false" outlineLevel="0" max="8" min="8" style="0" width="14"/>
    <col collapsed="false" customWidth="true" hidden="false" outlineLevel="0" max="9" min="9" style="0" width="9"/>
    <col collapsed="false" customWidth="true" hidden="false" outlineLevel="0" max="10" min="10" style="0" width="13"/>
    <col collapsed="false" customWidth="true" hidden="false" outlineLevel="0" max="11" min="11" style="0" width="9"/>
    <col collapsed="false" customWidth="true" hidden="false" outlineLevel="0" max="12" min="12" style="0" width="16"/>
    <col collapsed="false" customWidth="true" hidden="false" outlineLevel="0" max="14" min="13" style="0" width="15"/>
    <col collapsed="false" customWidth="true" hidden="false" outlineLevel="0" max="15" min="15" style="0" width="18"/>
    <col collapsed="false" customWidth="true" hidden="false" outlineLevel="0" max="16" min="16" style="0" width="15"/>
    <col collapsed="false" customWidth="true" hidden="false" outlineLevel="0" max="17" min="17" style="0" width="11"/>
    <col collapsed="false" customWidth="true" hidden="false" outlineLevel="0" max="18" min="18" style="0" width="21"/>
    <col collapsed="false" customWidth="true" hidden="false" outlineLevel="0" max="19" min="19" style="0" width="30"/>
    <col collapsed="false" customWidth="true" hidden="false" outlineLevel="0" max="20" min="20" style="0" width="23"/>
    <col collapsed="false" customWidth="true" hidden="false" outlineLevel="0" max="21" min="21" style="0" width="9"/>
    <col collapsed="false" customWidth="true" hidden="false" outlineLevel="0" max="22" min="22" style="0" width="10"/>
    <col collapsed="false" customWidth="true" hidden="false" outlineLevel="0" max="23" min="23" style="0" width="18"/>
    <col collapsed="false" customWidth="true" hidden="false" outlineLevel="0" max="24" min="24" style="0" width="11"/>
    <col collapsed="false" customWidth="true" hidden="false" outlineLevel="0" max="25" min="25" style="0" width="62"/>
    <col collapsed="false" customWidth="true" hidden="false" outlineLevel="0" max="28" min="26" style="0" width="12"/>
    <col collapsed="false" customWidth="true" hidden="false" outlineLevel="0" max="29" min="29" style="0" width="10"/>
    <col collapsed="false" customWidth="true" hidden="false" outlineLevel="0" max="30" min="30" style="0" width="46"/>
  </cols>
  <sheetData>
    <row r="1" customFormat="false" ht="16.1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c r="U4" s="3" t="s">
        <v>22</v>
      </c>
      <c r="V4" s="3" t="s">
        <v>23</v>
      </c>
      <c r="W4" s="3" t="s">
        <v>24</v>
      </c>
      <c r="X4" s="3" t="s">
        <v>25</v>
      </c>
      <c r="Y4" s="3" t="s">
        <v>26</v>
      </c>
      <c r="Z4" s="3" t="s">
        <v>27</v>
      </c>
      <c r="AA4" s="3" t="s">
        <v>28</v>
      </c>
      <c r="AB4" s="3" t="s">
        <v>29</v>
      </c>
      <c r="AC4" s="3" t="s">
        <v>30</v>
      </c>
      <c r="AD4" s="3" t="s">
        <v>31</v>
      </c>
    </row>
    <row r="5" customFormat="false" ht="23.85" hidden="false" customHeight="false" outlineLevel="0" collapsed="false">
      <c r="A5" s="4" t="s">
        <v>32</v>
      </c>
      <c r="B5" s="4" t="s">
        <v>33</v>
      </c>
      <c r="C5" s="4" t="s">
        <v>34</v>
      </c>
      <c r="D5" s="4" t="s">
        <v>35</v>
      </c>
      <c r="E5" s="4" t="s">
        <v>36</v>
      </c>
      <c r="F5" s="4" t="s">
        <v>37</v>
      </c>
      <c r="G5" s="4" t="s">
        <v>38</v>
      </c>
      <c r="H5" s="4"/>
      <c r="I5" s="4"/>
      <c r="J5" s="4"/>
      <c r="K5" s="4"/>
      <c r="L5" s="4"/>
      <c r="M5" s="4"/>
      <c r="N5" s="4"/>
      <c r="O5" s="4"/>
      <c r="P5" s="4"/>
      <c r="Q5" s="4"/>
      <c r="R5" s="4"/>
      <c r="S5" s="4"/>
      <c r="T5" s="4"/>
      <c r="U5" s="4"/>
      <c r="V5" s="4" t="s">
        <v>39</v>
      </c>
      <c r="W5" s="4"/>
      <c r="X5" s="4" t="s">
        <v>40</v>
      </c>
      <c r="Y5" s="5" t="s">
        <v>41</v>
      </c>
      <c r="Z5" s="4" t="s">
        <v>42</v>
      </c>
      <c r="AA5" s="4" t="s">
        <v>40</v>
      </c>
      <c r="AB5" s="4" t="s">
        <v>43</v>
      </c>
      <c r="AC5" s="4" t="s">
        <v>44</v>
      </c>
      <c r="AD5" s="5"/>
    </row>
    <row r="6" customFormat="false" ht="23.85" hidden="false" customHeight="false" outlineLevel="0" collapsed="false">
      <c r="A6" s="4" t="s">
        <v>45</v>
      </c>
      <c r="B6" s="4" t="s">
        <v>33</v>
      </c>
      <c r="C6" s="4" t="s">
        <v>34</v>
      </c>
      <c r="D6" s="4" t="s">
        <v>46</v>
      </c>
      <c r="E6" s="4" t="s">
        <v>36</v>
      </c>
      <c r="F6" s="4" t="s">
        <v>47</v>
      </c>
      <c r="G6" s="4" t="s">
        <v>48</v>
      </c>
      <c r="H6" s="4"/>
      <c r="I6" s="4"/>
      <c r="J6" s="4"/>
      <c r="K6" s="4"/>
      <c r="L6" s="4"/>
      <c r="M6" s="4"/>
      <c r="N6" s="4"/>
      <c r="O6" s="4"/>
      <c r="P6" s="4"/>
      <c r="Q6" s="4"/>
      <c r="R6" s="4"/>
      <c r="S6" s="4"/>
      <c r="T6" s="4"/>
      <c r="U6" s="4"/>
      <c r="V6" s="4" t="s">
        <v>39</v>
      </c>
      <c r="W6" s="4"/>
      <c r="X6" s="4" t="s">
        <v>40</v>
      </c>
      <c r="Y6" s="5" t="s">
        <v>49</v>
      </c>
      <c r="Z6" s="4" t="s">
        <v>42</v>
      </c>
      <c r="AA6" s="4" t="s">
        <v>40</v>
      </c>
      <c r="AB6" s="4" t="s">
        <v>43</v>
      </c>
      <c r="AC6" s="4" t="s">
        <v>44</v>
      </c>
      <c r="AD6" s="5"/>
    </row>
    <row r="7" customFormat="false" ht="35.05" hidden="false" customHeight="false" outlineLevel="0" collapsed="false">
      <c r="A7" s="4" t="s">
        <v>50</v>
      </c>
      <c r="B7" s="4" t="s">
        <v>33</v>
      </c>
      <c r="C7" s="4" t="s">
        <v>34</v>
      </c>
      <c r="D7" s="4" t="s">
        <v>46</v>
      </c>
      <c r="E7" s="4" t="s">
        <v>51</v>
      </c>
      <c r="F7" s="4" t="s">
        <v>52</v>
      </c>
      <c r="G7" s="4" t="s">
        <v>53</v>
      </c>
      <c r="H7" s="4"/>
      <c r="I7" s="4"/>
      <c r="J7" s="4"/>
      <c r="K7" s="4"/>
      <c r="L7" s="4"/>
      <c r="M7" s="4"/>
      <c r="N7" s="4"/>
      <c r="O7" s="4"/>
      <c r="P7" s="4"/>
      <c r="Q7" s="4"/>
      <c r="R7" s="4"/>
      <c r="S7" s="4"/>
      <c r="T7" s="4"/>
      <c r="U7" s="4"/>
      <c r="V7" s="4" t="s">
        <v>39</v>
      </c>
      <c r="W7" s="4"/>
      <c r="X7" s="4" t="s">
        <v>40</v>
      </c>
      <c r="Y7" s="5" t="s">
        <v>54</v>
      </c>
      <c r="Z7" s="4" t="s">
        <v>42</v>
      </c>
      <c r="AA7" s="4" t="s">
        <v>40</v>
      </c>
      <c r="AB7" s="4" t="s">
        <v>43</v>
      </c>
      <c r="AC7" s="4" t="s">
        <v>44</v>
      </c>
      <c r="AD7" s="5" t="s">
        <v>55</v>
      </c>
    </row>
    <row r="8" customFormat="false" ht="23.85" hidden="false" customHeight="false" outlineLevel="0" collapsed="false">
      <c r="A8" s="4" t="s">
        <v>56</v>
      </c>
      <c r="B8" s="4" t="s">
        <v>33</v>
      </c>
      <c r="C8" s="4" t="s">
        <v>34</v>
      </c>
      <c r="D8" s="4" t="s">
        <v>46</v>
      </c>
      <c r="E8" s="4" t="s">
        <v>36</v>
      </c>
      <c r="F8" s="4" t="s">
        <v>57</v>
      </c>
      <c r="G8" s="4" t="s">
        <v>58</v>
      </c>
      <c r="H8" s="4"/>
      <c r="I8" s="4"/>
      <c r="J8" s="4"/>
      <c r="K8" s="4"/>
      <c r="L8" s="4"/>
      <c r="M8" s="4"/>
      <c r="N8" s="4"/>
      <c r="O8" s="4"/>
      <c r="P8" s="4"/>
      <c r="Q8" s="4"/>
      <c r="R8" s="4"/>
      <c r="S8" s="4"/>
      <c r="T8" s="4"/>
      <c r="U8" s="4"/>
      <c r="V8" s="4" t="s">
        <v>39</v>
      </c>
      <c r="W8" s="4"/>
      <c r="X8" s="4" t="s">
        <v>40</v>
      </c>
      <c r="Y8" s="5" t="s">
        <v>59</v>
      </c>
      <c r="Z8" s="4" t="s">
        <v>42</v>
      </c>
      <c r="AA8" s="4" t="s">
        <v>40</v>
      </c>
      <c r="AB8" s="4" t="s">
        <v>43</v>
      </c>
      <c r="AC8" s="4" t="s">
        <v>44</v>
      </c>
      <c r="AD8" s="5"/>
    </row>
    <row r="9" customFormat="false" ht="23.85" hidden="false" customHeight="false" outlineLevel="0" collapsed="false">
      <c r="A9" s="4" t="s">
        <v>60</v>
      </c>
      <c r="B9" s="4" t="s">
        <v>33</v>
      </c>
      <c r="C9" s="4" t="s">
        <v>34</v>
      </c>
      <c r="D9" s="4" t="s">
        <v>61</v>
      </c>
      <c r="E9" s="4" t="s">
        <v>36</v>
      </c>
      <c r="F9" s="4" t="s">
        <v>62</v>
      </c>
      <c r="G9" s="4" t="s">
        <v>63</v>
      </c>
      <c r="H9" s="4"/>
      <c r="I9" s="4"/>
      <c r="J9" s="4"/>
      <c r="K9" s="4"/>
      <c r="L9" s="4"/>
      <c r="M9" s="4"/>
      <c r="N9" s="4"/>
      <c r="O9" s="4"/>
      <c r="P9" s="4"/>
      <c r="Q9" s="4"/>
      <c r="R9" s="4"/>
      <c r="S9" s="4"/>
      <c r="T9" s="4"/>
      <c r="U9" s="4"/>
      <c r="V9" s="4" t="s">
        <v>39</v>
      </c>
      <c r="W9" s="4"/>
      <c r="X9" s="4" t="s">
        <v>40</v>
      </c>
      <c r="Y9" s="5" t="s">
        <v>64</v>
      </c>
      <c r="Z9" s="4" t="s">
        <v>42</v>
      </c>
      <c r="AA9" s="4" t="s">
        <v>40</v>
      </c>
      <c r="AB9" s="4" t="s">
        <v>43</v>
      </c>
      <c r="AC9" s="4" t="s">
        <v>44</v>
      </c>
      <c r="AD9" s="5"/>
    </row>
    <row r="10" customFormat="false" ht="15" hidden="false" customHeight="false" outlineLevel="0" collapsed="false">
      <c r="A10" s="4" t="s">
        <v>65</v>
      </c>
      <c r="B10" s="4" t="s">
        <v>33</v>
      </c>
      <c r="C10" s="4" t="s">
        <v>34</v>
      </c>
      <c r="D10" s="4" t="s">
        <v>61</v>
      </c>
      <c r="E10" s="4" t="s">
        <v>36</v>
      </c>
      <c r="F10" s="4" t="s">
        <v>66</v>
      </c>
      <c r="G10" s="4" t="s">
        <v>67</v>
      </c>
      <c r="H10" s="4"/>
      <c r="I10" s="4"/>
      <c r="J10" s="4"/>
      <c r="K10" s="4"/>
      <c r="L10" s="4"/>
      <c r="M10" s="4"/>
      <c r="N10" s="4"/>
      <c r="O10" s="4"/>
      <c r="P10" s="4"/>
      <c r="Q10" s="4"/>
      <c r="R10" s="4"/>
      <c r="S10" s="4"/>
      <c r="T10" s="4"/>
      <c r="U10" s="4"/>
      <c r="V10" s="4" t="s">
        <v>39</v>
      </c>
      <c r="W10" s="4"/>
      <c r="X10" s="4" t="s">
        <v>40</v>
      </c>
      <c r="Y10" s="5" t="s">
        <v>68</v>
      </c>
      <c r="Z10" s="4" t="s">
        <v>42</v>
      </c>
      <c r="AA10" s="4" t="s">
        <v>40</v>
      </c>
      <c r="AB10" s="4" t="s">
        <v>43</v>
      </c>
      <c r="AC10" s="4" t="s">
        <v>44</v>
      </c>
      <c r="AD10" s="5"/>
    </row>
    <row r="11" customFormat="false" ht="23.85" hidden="false" customHeight="false" outlineLevel="0" collapsed="false">
      <c r="A11" s="4" t="s">
        <v>69</v>
      </c>
      <c r="B11" s="4" t="s">
        <v>33</v>
      </c>
      <c r="C11" s="4" t="s">
        <v>34</v>
      </c>
      <c r="D11" s="4" t="s">
        <v>61</v>
      </c>
      <c r="E11" s="4" t="s">
        <v>36</v>
      </c>
      <c r="F11" s="4" t="s">
        <v>70</v>
      </c>
      <c r="G11" s="4" t="s">
        <v>71</v>
      </c>
      <c r="H11" s="4"/>
      <c r="I11" s="4"/>
      <c r="J11" s="4"/>
      <c r="K11" s="4"/>
      <c r="L11" s="4"/>
      <c r="M11" s="4"/>
      <c r="N11" s="4"/>
      <c r="O11" s="4"/>
      <c r="P11" s="4"/>
      <c r="Q11" s="4"/>
      <c r="R11" s="4"/>
      <c r="S11" s="4"/>
      <c r="T11" s="4"/>
      <c r="U11" s="4"/>
      <c r="V11" s="4" t="s">
        <v>39</v>
      </c>
      <c r="W11" s="4"/>
      <c r="X11" s="4" t="s">
        <v>40</v>
      </c>
      <c r="Y11" s="5" t="s">
        <v>72</v>
      </c>
      <c r="Z11" s="4" t="s">
        <v>42</v>
      </c>
      <c r="AA11" s="4" t="s">
        <v>40</v>
      </c>
      <c r="AB11" s="4" t="s">
        <v>43</v>
      </c>
      <c r="AC11" s="4" t="s">
        <v>44</v>
      </c>
      <c r="AD11" s="5"/>
    </row>
    <row r="12" customFormat="false" ht="23.85" hidden="false" customHeight="false" outlineLevel="0" collapsed="false">
      <c r="A12" s="4" t="s">
        <v>73</v>
      </c>
      <c r="B12" s="4" t="s">
        <v>33</v>
      </c>
      <c r="C12" s="4" t="s">
        <v>34</v>
      </c>
      <c r="D12" s="4" t="s">
        <v>61</v>
      </c>
      <c r="E12" s="4" t="s">
        <v>36</v>
      </c>
      <c r="F12" s="4" t="s">
        <v>74</v>
      </c>
      <c r="G12" s="4" t="s">
        <v>75</v>
      </c>
      <c r="H12" s="4"/>
      <c r="I12" s="4"/>
      <c r="J12" s="4"/>
      <c r="K12" s="4"/>
      <c r="L12" s="4"/>
      <c r="M12" s="4"/>
      <c r="N12" s="4"/>
      <c r="O12" s="4"/>
      <c r="P12" s="4"/>
      <c r="Q12" s="4"/>
      <c r="R12" s="4"/>
      <c r="S12" s="4"/>
      <c r="T12" s="4"/>
      <c r="U12" s="4"/>
      <c r="V12" s="4" t="s">
        <v>39</v>
      </c>
      <c r="W12" s="4"/>
      <c r="X12" s="4" t="s">
        <v>40</v>
      </c>
      <c r="Y12" s="5" t="s">
        <v>76</v>
      </c>
      <c r="Z12" s="4" t="s">
        <v>42</v>
      </c>
      <c r="AA12" s="4" t="s">
        <v>40</v>
      </c>
      <c r="AB12" s="4" t="s">
        <v>43</v>
      </c>
      <c r="AC12" s="4" t="s">
        <v>44</v>
      </c>
      <c r="AD12" s="5"/>
    </row>
    <row r="13" customFormat="false" ht="15" hidden="false" customHeight="false" outlineLevel="0" collapsed="false">
      <c r="A13" s="4" t="s">
        <v>77</v>
      </c>
      <c r="B13" s="4" t="s">
        <v>33</v>
      </c>
      <c r="C13" s="4" t="s">
        <v>34</v>
      </c>
      <c r="D13" s="4" t="s">
        <v>61</v>
      </c>
      <c r="E13" s="4" t="s">
        <v>36</v>
      </c>
      <c r="F13" s="4" t="s">
        <v>78</v>
      </c>
      <c r="G13" s="4" t="s">
        <v>79</v>
      </c>
      <c r="H13" s="4"/>
      <c r="I13" s="4"/>
      <c r="J13" s="4"/>
      <c r="K13" s="4"/>
      <c r="L13" s="4"/>
      <c r="M13" s="4"/>
      <c r="N13" s="4"/>
      <c r="O13" s="4"/>
      <c r="P13" s="4"/>
      <c r="Q13" s="4"/>
      <c r="R13" s="4"/>
      <c r="S13" s="4"/>
      <c r="T13" s="4"/>
      <c r="U13" s="4"/>
      <c r="V13" s="4" t="s">
        <v>39</v>
      </c>
      <c r="W13" s="4"/>
      <c r="X13" s="4" t="s">
        <v>40</v>
      </c>
      <c r="Y13" s="5" t="s">
        <v>80</v>
      </c>
      <c r="Z13" s="4" t="s">
        <v>42</v>
      </c>
      <c r="AA13" s="4" t="s">
        <v>40</v>
      </c>
      <c r="AB13" s="4" t="s">
        <v>43</v>
      </c>
      <c r="AC13" s="4" t="s">
        <v>44</v>
      </c>
      <c r="AD13" s="5"/>
    </row>
    <row r="14" customFormat="false" ht="23.85" hidden="false" customHeight="false" outlineLevel="0" collapsed="false">
      <c r="A14" s="4" t="s">
        <v>81</v>
      </c>
      <c r="B14" s="4" t="s">
        <v>33</v>
      </c>
      <c r="C14" s="4" t="s">
        <v>34</v>
      </c>
      <c r="D14" s="4" t="s">
        <v>61</v>
      </c>
      <c r="E14" s="4" t="s">
        <v>36</v>
      </c>
      <c r="F14" s="4" t="s">
        <v>82</v>
      </c>
      <c r="G14" s="4" t="s">
        <v>83</v>
      </c>
      <c r="H14" s="4"/>
      <c r="I14" s="4"/>
      <c r="J14" s="4"/>
      <c r="K14" s="4"/>
      <c r="L14" s="4"/>
      <c r="M14" s="4"/>
      <c r="N14" s="4"/>
      <c r="O14" s="4"/>
      <c r="P14" s="4"/>
      <c r="Q14" s="4"/>
      <c r="R14" s="4"/>
      <c r="S14" s="4"/>
      <c r="T14" s="4"/>
      <c r="U14" s="4"/>
      <c r="V14" s="4" t="s">
        <v>39</v>
      </c>
      <c r="W14" s="4"/>
      <c r="X14" s="4" t="s">
        <v>40</v>
      </c>
      <c r="Y14" s="5" t="s">
        <v>84</v>
      </c>
      <c r="Z14" s="4" t="s">
        <v>42</v>
      </c>
      <c r="AA14" s="4" t="s">
        <v>40</v>
      </c>
      <c r="AB14" s="4" t="s">
        <v>43</v>
      </c>
      <c r="AC14" s="4" t="s">
        <v>44</v>
      </c>
      <c r="AD14" s="5"/>
    </row>
    <row r="15" customFormat="false" ht="35.05" hidden="false" customHeight="false" outlineLevel="0" collapsed="false">
      <c r="A15" s="4" t="s">
        <v>85</v>
      </c>
      <c r="B15" s="4" t="s">
        <v>33</v>
      </c>
      <c r="C15" s="4" t="s">
        <v>34</v>
      </c>
      <c r="D15" s="4" t="s">
        <v>86</v>
      </c>
      <c r="E15" s="4" t="s">
        <v>36</v>
      </c>
      <c r="F15" s="4" t="s">
        <v>87</v>
      </c>
      <c r="G15" s="4" t="s">
        <v>88</v>
      </c>
      <c r="H15" s="4"/>
      <c r="I15" s="4"/>
      <c r="J15" s="4"/>
      <c r="K15" s="4"/>
      <c r="L15" s="4"/>
      <c r="M15" s="4"/>
      <c r="N15" s="4"/>
      <c r="O15" s="4"/>
      <c r="P15" s="4"/>
      <c r="Q15" s="4"/>
      <c r="R15" s="4"/>
      <c r="S15" s="4"/>
      <c r="T15" s="4"/>
      <c r="U15" s="4"/>
      <c r="V15" s="4" t="s">
        <v>39</v>
      </c>
      <c r="W15" s="4"/>
      <c r="X15" s="4" t="s">
        <v>40</v>
      </c>
      <c r="Y15" s="5" t="s">
        <v>89</v>
      </c>
      <c r="Z15" s="4" t="s">
        <v>42</v>
      </c>
      <c r="AA15" s="4" t="s">
        <v>40</v>
      </c>
      <c r="AB15" s="4" t="s">
        <v>43</v>
      </c>
      <c r="AC15" s="4" t="s">
        <v>44</v>
      </c>
      <c r="AD15" s="5" t="s">
        <v>90</v>
      </c>
    </row>
    <row r="16" customFormat="false" ht="23.85" hidden="false" customHeight="false" outlineLevel="0" collapsed="false">
      <c r="A16" s="4" t="s">
        <v>91</v>
      </c>
      <c r="B16" s="4" t="s">
        <v>33</v>
      </c>
      <c r="C16" s="4" t="s">
        <v>34</v>
      </c>
      <c r="D16" s="4" t="s">
        <v>86</v>
      </c>
      <c r="E16" s="4" t="s">
        <v>36</v>
      </c>
      <c r="F16" s="4" t="s">
        <v>92</v>
      </c>
      <c r="G16" s="4" t="s">
        <v>93</v>
      </c>
      <c r="H16" s="4"/>
      <c r="I16" s="4"/>
      <c r="J16" s="4"/>
      <c r="K16" s="4"/>
      <c r="L16" s="4"/>
      <c r="M16" s="4"/>
      <c r="N16" s="4"/>
      <c r="O16" s="4"/>
      <c r="P16" s="4"/>
      <c r="Q16" s="4"/>
      <c r="R16" s="4"/>
      <c r="S16" s="4"/>
      <c r="T16" s="4"/>
      <c r="U16" s="4"/>
      <c r="V16" s="4" t="s">
        <v>39</v>
      </c>
      <c r="W16" s="4"/>
      <c r="X16" s="4" t="s">
        <v>40</v>
      </c>
      <c r="Y16" s="5" t="s">
        <v>94</v>
      </c>
      <c r="Z16" s="4" t="s">
        <v>42</v>
      </c>
      <c r="AA16" s="4" t="s">
        <v>40</v>
      </c>
      <c r="AB16" s="4" t="s">
        <v>43</v>
      </c>
      <c r="AC16" s="4" t="s">
        <v>44</v>
      </c>
      <c r="AD16" s="5"/>
    </row>
    <row r="17" customFormat="false" ht="23.85" hidden="false" customHeight="false" outlineLevel="0" collapsed="false">
      <c r="A17" s="4" t="s">
        <v>95</v>
      </c>
      <c r="B17" s="4" t="s">
        <v>33</v>
      </c>
      <c r="C17" s="4" t="s">
        <v>34</v>
      </c>
      <c r="D17" s="4" t="s">
        <v>86</v>
      </c>
      <c r="E17" s="4" t="s">
        <v>36</v>
      </c>
      <c r="F17" s="4" t="s">
        <v>96</v>
      </c>
      <c r="G17" s="4" t="s">
        <v>97</v>
      </c>
      <c r="H17" s="4"/>
      <c r="I17" s="4"/>
      <c r="J17" s="4"/>
      <c r="K17" s="4"/>
      <c r="L17" s="4"/>
      <c r="M17" s="4"/>
      <c r="N17" s="4"/>
      <c r="O17" s="4"/>
      <c r="P17" s="4"/>
      <c r="Q17" s="4"/>
      <c r="R17" s="4"/>
      <c r="S17" s="4"/>
      <c r="T17" s="4"/>
      <c r="U17" s="4"/>
      <c r="V17" s="4" t="s">
        <v>39</v>
      </c>
      <c r="W17" s="4"/>
      <c r="X17" s="4" t="s">
        <v>40</v>
      </c>
      <c r="Y17" s="5" t="s">
        <v>98</v>
      </c>
      <c r="Z17" s="4" t="s">
        <v>42</v>
      </c>
      <c r="AA17" s="4" t="s">
        <v>40</v>
      </c>
      <c r="AB17" s="4" t="s">
        <v>43</v>
      </c>
      <c r="AC17" s="4" t="s">
        <v>44</v>
      </c>
      <c r="AD17" s="5"/>
    </row>
    <row r="18" customFormat="false" ht="23.85" hidden="false" customHeight="false" outlineLevel="0" collapsed="false">
      <c r="A18" s="4" t="s">
        <v>99</v>
      </c>
      <c r="B18" s="4" t="s">
        <v>33</v>
      </c>
      <c r="C18" s="4" t="s">
        <v>34</v>
      </c>
      <c r="D18" s="4" t="s">
        <v>86</v>
      </c>
      <c r="E18" s="4" t="s">
        <v>36</v>
      </c>
      <c r="F18" s="4" t="s">
        <v>100</v>
      </c>
      <c r="G18" s="4" t="s">
        <v>101</v>
      </c>
      <c r="H18" s="4"/>
      <c r="I18" s="4"/>
      <c r="J18" s="4"/>
      <c r="K18" s="4"/>
      <c r="L18" s="4"/>
      <c r="M18" s="4"/>
      <c r="N18" s="4"/>
      <c r="O18" s="4"/>
      <c r="P18" s="4"/>
      <c r="Q18" s="4"/>
      <c r="R18" s="4"/>
      <c r="S18" s="4"/>
      <c r="T18" s="4"/>
      <c r="U18" s="4"/>
      <c r="V18" s="4" t="s">
        <v>39</v>
      </c>
      <c r="W18" s="4"/>
      <c r="X18" s="4" t="s">
        <v>40</v>
      </c>
      <c r="Y18" s="5" t="s">
        <v>102</v>
      </c>
      <c r="Z18" s="4" t="s">
        <v>42</v>
      </c>
      <c r="AA18" s="4" t="s">
        <v>40</v>
      </c>
      <c r="AB18" s="4" t="s">
        <v>43</v>
      </c>
      <c r="AC18" s="4" t="s">
        <v>44</v>
      </c>
      <c r="AD18" s="5"/>
    </row>
    <row r="19" customFormat="false" ht="15" hidden="false" customHeight="false" outlineLevel="0" collapsed="false">
      <c r="A19" s="4" t="s">
        <v>103</v>
      </c>
      <c r="B19" s="4" t="s">
        <v>33</v>
      </c>
      <c r="C19" s="4" t="s">
        <v>34</v>
      </c>
      <c r="D19" s="4" t="s">
        <v>86</v>
      </c>
      <c r="E19" s="4" t="s">
        <v>36</v>
      </c>
      <c r="F19" s="4" t="s">
        <v>104</v>
      </c>
      <c r="G19" s="4" t="s">
        <v>105</v>
      </c>
      <c r="H19" s="4"/>
      <c r="I19" s="4"/>
      <c r="J19" s="4"/>
      <c r="K19" s="4"/>
      <c r="L19" s="4"/>
      <c r="M19" s="4"/>
      <c r="N19" s="4"/>
      <c r="O19" s="4"/>
      <c r="P19" s="4"/>
      <c r="Q19" s="4"/>
      <c r="R19" s="4"/>
      <c r="S19" s="4"/>
      <c r="T19" s="4"/>
      <c r="U19" s="4"/>
      <c r="V19" s="4" t="s">
        <v>39</v>
      </c>
      <c r="W19" s="4"/>
      <c r="X19" s="4" t="s">
        <v>40</v>
      </c>
      <c r="Y19" s="5" t="s">
        <v>106</v>
      </c>
      <c r="Z19" s="4" t="s">
        <v>42</v>
      </c>
      <c r="AA19" s="4" t="s">
        <v>40</v>
      </c>
      <c r="AB19" s="4" t="s">
        <v>43</v>
      </c>
      <c r="AC19" s="4" t="s">
        <v>44</v>
      </c>
      <c r="AD19" s="5"/>
    </row>
    <row r="20" customFormat="false" ht="23.85" hidden="false" customHeight="false" outlineLevel="0" collapsed="false">
      <c r="A20" s="4" t="s">
        <v>107</v>
      </c>
      <c r="B20" s="4" t="s">
        <v>33</v>
      </c>
      <c r="C20" s="4" t="s">
        <v>34</v>
      </c>
      <c r="D20" s="4" t="s">
        <v>86</v>
      </c>
      <c r="E20" s="4" t="s">
        <v>36</v>
      </c>
      <c r="F20" s="4" t="s">
        <v>108</v>
      </c>
      <c r="G20" s="4" t="s">
        <v>109</v>
      </c>
      <c r="H20" s="4"/>
      <c r="I20" s="4"/>
      <c r="J20" s="4"/>
      <c r="K20" s="4"/>
      <c r="L20" s="4"/>
      <c r="M20" s="4"/>
      <c r="N20" s="4"/>
      <c r="O20" s="4"/>
      <c r="P20" s="4"/>
      <c r="Q20" s="4"/>
      <c r="R20" s="4"/>
      <c r="S20" s="4"/>
      <c r="T20" s="4"/>
      <c r="U20" s="4"/>
      <c r="V20" s="4" t="s">
        <v>39</v>
      </c>
      <c r="W20" s="4"/>
      <c r="X20" s="4" t="s">
        <v>40</v>
      </c>
      <c r="Y20" s="5" t="s">
        <v>110</v>
      </c>
      <c r="Z20" s="4" t="s">
        <v>42</v>
      </c>
      <c r="AA20" s="4" t="s">
        <v>40</v>
      </c>
      <c r="AB20" s="4" t="s">
        <v>43</v>
      </c>
      <c r="AC20" s="4" t="s">
        <v>44</v>
      </c>
      <c r="AD20" s="5"/>
    </row>
    <row r="21" customFormat="false" ht="23.85" hidden="false" customHeight="false" outlineLevel="0" collapsed="false">
      <c r="A21" s="4" t="s">
        <v>111</v>
      </c>
      <c r="B21" s="4" t="s">
        <v>33</v>
      </c>
      <c r="C21" s="4" t="s">
        <v>34</v>
      </c>
      <c r="D21" s="4" t="s">
        <v>86</v>
      </c>
      <c r="E21" s="4" t="s">
        <v>36</v>
      </c>
      <c r="F21" s="4" t="s">
        <v>112</v>
      </c>
      <c r="G21" s="4" t="s">
        <v>113</v>
      </c>
      <c r="H21" s="4"/>
      <c r="I21" s="4"/>
      <c r="J21" s="4"/>
      <c r="K21" s="4"/>
      <c r="L21" s="4"/>
      <c r="M21" s="4"/>
      <c r="N21" s="4"/>
      <c r="O21" s="4"/>
      <c r="P21" s="4"/>
      <c r="Q21" s="4"/>
      <c r="R21" s="4"/>
      <c r="S21" s="4"/>
      <c r="T21" s="4"/>
      <c r="U21" s="4"/>
      <c r="V21" s="4" t="s">
        <v>39</v>
      </c>
      <c r="W21" s="4"/>
      <c r="X21" s="4" t="s">
        <v>40</v>
      </c>
      <c r="Y21" s="5" t="s">
        <v>114</v>
      </c>
      <c r="Z21" s="4" t="s">
        <v>42</v>
      </c>
      <c r="AA21" s="4" t="s">
        <v>40</v>
      </c>
      <c r="AB21" s="4" t="s">
        <v>43</v>
      </c>
      <c r="AC21" s="4" t="s">
        <v>44</v>
      </c>
      <c r="AD21" s="5"/>
    </row>
    <row r="22" customFormat="false" ht="15" hidden="false" customHeight="false" outlineLevel="0" collapsed="false">
      <c r="A22" s="4" t="s">
        <v>115</v>
      </c>
      <c r="B22" s="4" t="s">
        <v>33</v>
      </c>
      <c r="C22" s="4" t="s">
        <v>34</v>
      </c>
      <c r="D22" s="4" t="s">
        <v>86</v>
      </c>
      <c r="E22" s="4" t="s">
        <v>36</v>
      </c>
      <c r="F22" s="4" t="s">
        <v>116</v>
      </c>
      <c r="G22" s="4" t="s">
        <v>117</v>
      </c>
      <c r="H22" s="4"/>
      <c r="I22" s="4"/>
      <c r="J22" s="4"/>
      <c r="K22" s="4"/>
      <c r="L22" s="4"/>
      <c r="M22" s="4"/>
      <c r="N22" s="4"/>
      <c r="O22" s="4"/>
      <c r="P22" s="4"/>
      <c r="Q22" s="4"/>
      <c r="R22" s="4"/>
      <c r="S22" s="4"/>
      <c r="T22" s="4"/>
      <c r="U22" s="4"/>
      <c r="V22" s="4" t="s">
        <v>39</v>
      </c>
      <c r="W22" s="4"/>
      <c r="X22" s="4" t="s">
        <v>40</v>
      </c>
      <c r="Y22" s="5" t="s">
        <v>118</v>
      </c>
      <c r="Z22" s="4" t="s">
        <v>42</v>
      </c>
      <c r="AA22" s="4" t="s">
        <v>40</v>
      </c>
      <c r="AB22" s="4" t="s">
        <v>43</v>
      </c>
      <c r="AC22" s="4" t="s">
        <v>44</v>
      </c>
      <c r="AD22" s="5"/>
    </row>
    <row r="23" customFormat="false" ht="23.85" hidden="false" customHeight="false" outlineLevel="0" collapsed="false">
      <c r="A23" s="4" t="s">
        <v>119</v>
      </c>
      <c r="B23" s="4" t="s">
        <v>33</v>
      </c>
      <c r="C23" s="4" t="s">
        <v>34</v>
      </c>
      <c r="D23" s="4" t="s">
        <v>46</v>
      </c>
      <c r="E23" s="4" t="s">
        <v>36</v>
      </c>
      <c r="F23" s="4" t="s">
        <v>120</v>
      </c>
      <c r="G23" s="4" t="s">
        <v>121</v>
      </c>
      <c r="H23" s="4"/>
      <c r="I23" s="4"/>
      <c r="J23" s="4"/>
      <c r="K23" s="4"/>
      <c r="L23" s="4"/>
      <c r="M23" s="4"/>
      <c r="N23" s="4"/>
      <c r="O23" s="4"/>
      <c r="P23" s="4"/>
      <c r="Q23" s="4"/>
      <c r="R23" s="4"/>
      <c r="S23" s="4"/>
      <c r="T23" s="4"/>
      <c r="U23" s="4"/>
      <c r="V23" s="4" t="s">
        <v>39</v>
      </c>
      <c r="W23" s="4"/>
      <c r="X23" s="4" t="s">
        <v>40</v>
      </c>
      <c r="Y23" s="5" t="s">
        <v>122</v>
      </c>
      <c r="Z23" s="4" t="s">
        <v>42</v>
      </c>
      <c r="AA23" s="4" t="s">
        <v>40</v>
      </c>
      <c r="AB23" s="4" t="s">
        <v>43</v>
      </c>
      <c r="AC23" s="4" t="s">
        <v>44</v>
      </c>
      <c r="AD23" s="5" t="s">
        <v>123</v>
      </c>
    </row>
    <row r="24" customFormat="false" ht="23.85" hidden="false" customHeight="false" outlineLevel="0" collapsed="false">
      <c r="A24" s="4" t="s">
        <v>124</v>
      </c>
      <c r="B24" s="4" t="s">
        <v>33</v>
      </c>
      <c r="C24" s="4" t="s">
        <v>34</v>
      </c>
      <c r="D24" s="4" t="s">
        <v>35</v>
      </c>
      <c r="E24" s="4" t="s">
        <v>36</v>
      </c>
      <c r="F24" s="4" t="s">
        <v>125</v>
      </c>
      <c r="G24" s="4" t="s">
        <v>126</v>
      </c>
      <c r="H24" s="4"/>
      <c r="I24" s="4"/>
      <c r="J24" s="4"/>
      <c r="K24" s="4"/>
      <c r="L24" s="4"/>
      <c r="M24" s="4"/>
      <c r="N24" s="4"/>
      <c r="O24" s="4"/>
      <c r="P24" s="4"/>
      <c r="Q24" s="4"/>
      <c r="R24" s="4"/>
      <c r="S24" s="4"/>
      <c r="T24" s="4"/>
      <c r="U24" s="4"/>
      <c r="V24" s="4" t="s">
        <v>39</v>
      </c>
      <c r="W24" s="4"/>
      <c r="X24" s="4" t="s">
        <v>40</v>
      </c>
      <c r="Y24" s="5" t="s">
        <v>127</v>
      </c>
      <c r="Z24" s="4" t="s">
        <v>42</v>
      </c>
      <c r="AA24" s="4" t="s">
        <v>40</v>
      </c>
      <c r="AB24" s="4" t="s">
        <v>43</v>
      </c>
      <c r="AC24" s="4" t="s">
        <v>44</v>
      </c>
      <c r="AD24" s="5"/>
    </row>
    <row r="25" customFormat="false" ht="23.85" hidden="false" customHeight="false" outlineLevel="0" collapsed="false">
      <c r="A25" s="4" t="s">
        <v>128</v>
      </c>
      <c r="B25" s="4" t="s">
        <v>33</v>
      </c>
      <c r="C25" s="4" t="s">
        <v>34</v>
      </c>
      <c r="D25" s="4" t="s">
        <v>129</v>
      </c>
      <c r="E25" s="4" t="s">
        <v>36</v>
      </c>
      <c r="F25" s="4" t="s">
        <v>130</v>
      </c>
      <c r="G25" s="4" t="s">
        <v>131</v>
      </c>
      <c r="H25" s="4"/>
      <c r="I25" s="4"/>
      <c r="J25" s="4"/>
      <c r="K25" s="4"/>
      <c r="L25" s="4"/>
      <c r="M25" s="4"/>
      <c r="N25" s="4"/>
      <c r="O25" s="4"/>
      <c r="P25" s="4"/>
      <c r="Q25" s="4"/>
      <c r="R25" s="4"/>
      <c r="S25" s="4"/>
      <c r="T25" s="4"/>
      <c r="U25" s="4"/>
      <c r="V25" s="4" t="s">
        <v>39</v>
      </c>
      <c r="W25" s="4"/>
      <c r="X25" s="4" t="s">
        <v>40</v>
      </c>
      <c r="Y25" s="5" t="s">
        <v>132</v>
      </c>
      <c r="Z25" s="4" t="s">
        <v>42</v>
      </c>
      <c r="AA25" s="4" t="s">
        <v>40</v>
      </c>
      <c r="AB25" s="4" t="s">
        <v>43</v>
      </c>
      <c r="AC25" s="4" t="s">
        <v>44</v>
      </c>
      <c r="AD25" s="5"/>
    </row>
    <row r="26" customFormat="false" ht="23.85" hidden="false" customHeight="false" outlineLevel="0" collapsed="false">
      <c r="A26" s="4" t="s">
        <v>133</v>
      </c>
      <c r="B26" s="4" t="s">
        <v>33</v>
      </c>
      <c r="C26" s="4" t="s">
        <v>34</v>
      </c>
      <c r="D26" s="4" t="s">
        <v>129</v>
      </c>
      <c r="E26" s="4" t="s">
        <v>36</v>
      </c>
      <c r="F26" s="4" t="s">
        <v>134</v>
      </c>
      <c r="G26" s="4" t="s">
        <v>135</v>
      </c>
      <c r="H26" s="4"/>
      <c r="I26" s="4"/>
      <c r="J26" s="4"/>
      <c r="K26" s="4"/>
      <c r="L26" s="4"/>
      <c r="M26" s="4"/>
      <c r="N26" s="4"/>
      <c r="O26" s="4"/>
      <c r="P26" s="4"/>
      <c r="Q26" s="4"/>
      <c r="R26" s="4"/>
      <c r="S26" s="4"/>
      <c r="T26" s="4"/>
      <c r="U26" s="4"/>
      <c r="V26" s="4" t="s">
        <v>39</v>
      </c>
      <c r="W26" s="4"/>
      <c r="X26" s="4" t="s">
        <v>40</v>
      </c>
      <c r="Y26" s="5" t="s">
        <v>136</v>
      </c>
      <c r="Z26" s="4" t="s">
        <v>42</v>
      </c>
      <c r="AA26" s="4" t="s">
        <v>40</v>
      </c>
      <c r="AB26" s="4" t="s">
        <v>43</v>
      </c>
      <c r="AC26" s="4" t="s">
        <v>44</v>
      </c>
      <c r="AD26" s="5"/>
    </row>
    <row r="27" customFormat="false" ht="15" hidden="false" customHeight="false" outlineLevel="0" collapsed="false">
      <c r="A27" s="4" t="s">
        <v>137</v>
      </c>
      <c r="B27" s="4" t="s">
        <v>33</v>
      </c>
      <c r="C27" s="4" t="s">
        <v>34</v>
      </c>
      <c r="D27" s="4" t="s">
        <v>129</v>
      </c>
      <c r="E27" s="4" t="s">
        <v>36</v>
      </c>
      <c r="F27" s="4" t="s">
        <v>138</v>
      </c>
      <c r="G27" s="4" t="s">
        <v>139</v>
      </c>
      <c r="H27" s="4"/>
      <c r="I27" s="4"/>
      <c r="J27" s="4"/>
      <c r="K27" s="4"/>
      <c r="L27" s="4"/>
      <c r="M27" s="4"/>
      <c r="N27" s="4"/>
      <c r="O27" s="4"/>
      <c r="P27" s="4"/>
      <c r="Q27" s="4"/>
      <c r="R27" s="4"/>
      <c r="S27" s="4"/>
      <c r="T27" s="4"/>
      <c r="U27" s="4"/>
      <c r="V27" s="4" t="s">
        <v>39</v>
      </c>
      <c r="W27" s="4"/>
      <c r="X27" s="4" t="s">
        <v>40</v>
      </c>
      <c r="Y27" s="5" t="s">
        <v>140</v>
      </c>
      <c r="Z27" s="4" t="s">
        <v>42</v>
      </c>
      <c r="AA27" s="4" t="s">
        <v>40</v>
      </c>
      <c r="AB27" s="4" t="s">
        <v>43</v>
      </c>
      <c r="AC27" s="4" t="s">
        <v>44</v>
      </c>
      <c r="AD27" s="5"/>
    </row>
    <row r="28" customFormat="false" ht="23.85" hidden="false" customHeight="false" outlineLevel="0" collapsed="false">
      <c r="A28" s="4" t="s">
        <v>141</v>
      </c>
      <c r="B28" s="4" t="s">
        <v>33</v>
      </c>
      <c r="C28" s="4" t="s">
        <v>34</v>
      </c>
      <c r="D28" s="4" t="s">
        <v>129</v>
      </c>
      <c r="E28" s="4" t="s">
        <v>36</v>
      </c>
      <c r="F28" s="4" t="s">
        <v>142</v>
      </c>
      <c r="G28" s="4" t="s">
        <v>143</v>
      </c>
      <c r="H28" s="4"/>
      <c r="I28" s="4"/>
      <c r="J28" s="4"/>
      <c r="K28" s="4"/>
      <c r="L28" s="4"/>
      <c r="M28" s="4"/>
      <c r="N28" s="4"/>
      <c r="O28" s="4"/>
      <c r="P28" s="4"/>
      <c r="Q28" s="4"/>
      <c r="R28" s="4"/>
      <c r="S28" s="4"/>
      <c r="T28" s="4"/>
      <c r="U28" s="4"/>
      <c r="V28" s="4" t="s">
        <v>39</v>
      </c>
      <c r="W28" s="4"/>
      <c r="X28" s="4" t="s">
        <v>40</v>
      </c>
      <c r="Y28" s="5" t="s">
        <v>144</v>
      </c>
      <c r="Z28" s="4" t="s">
        <v>42</v>
      </c>
      <c r="AA28" s="4" t="s">
        <v>40</v>
      </c>
      <c r="AB28" s="4" t="s">
        <v>43</v>
      </c>
      <c r="AC28" s="4" t="s">
        <v>44</v>
      </c>
      <c r="AD28" s="5"/>
    </row>
    <row r="29" customFormat="false" ht="15" hidden="false" customHeight="false" outlineLevel="0" collapsed="false">
      <c r="A29" s="4" t="s">
        <v>145</v>
      </c>
      <c r="B29" s="4" t="s">
        <v>33</v>
      </c>
      <c r="C29" s="4" t="s">
        <v>34</v>
      </c>
      <c r="D29" s="4" t="s">
        <v>46</v>
      </c>
      <c r="E29" s="4" t="s">
        <v>36</v>
      </c>
      <c r="F29" s="4" t="s">
        <v>146</v>
      </c>
      <c r="G29" s="4" t="s">
        <v>147</v>
      </c>
      <c r="H29" s="4"/>
      <c r="I29" s="4"/>
      <c r="J29" s="4"/>
      <c r="K29" s="4"/>
      <c r="L29" s="4"/>
      <c r="M29" s="4"/>
      <c r="N29" s="4"/>
      <c r="O29" s="4"/>
      <c r="P29" s="4"/>
      <c r="Q29" s="4"/>
      <c r="R29" s="4"/>
      <c r="S29" s="4"/>
      <c r="T29" s="4"/>
      <c r="U29" s="4"/>
      <c r="V29" s="4" t="s">
        <v>39</v>
      </c>
      <c r="W29" s="4"/>
      <c r="X29" s="4" t="s">
        <v>40</v>
      </c>
      <c r="Y29" s="5" t="s">
        <v>148</v>
      </c>
      <c r="Z29" s="4" t="s">
        <v>42</v>
      </c>
      <c r="AA29" s="4" t="s">
        <v>40</v>
      </c>
      <c r="AB29" s="4" t="s">
        <v>43</v>
      </c>
      <c r="AC29" s="4" t="s">
        <v>44</v>
      </c>
      <c r="AD29" s="5"/>
    </row>
    <row r="30" customFormat="false" ht="23.85" hidden="false" customHeight="false" outlineLevel="0" collapsed="false">
      <c r="A30" s="4" t="s">
        <v>149</v>
      </c>
      <c r="B30" s="4" t="s">
        <v>33</v>
      </c>
      <c r="C30" s="4" t="s">
        <v>34</v>
      </c>
      <c r="D30" s="4" t="s">
        <v>46</v>
      </c>
      <c r="E30" s="4" t="s">
        <v>36</v>
      </c>
      <c r="F30" s="4" t="s">
        <v>150</v>
      </c>
      <c r="G30" s="4" t="s">
        <v>151</v>
      </c>
      <c r="H30" s="4"/>
      <c r="I30" s="4"/>
      <c r="J30" s="4"/>
      <c r="K30" s="4"/>
      <c r="L30" s="4"/>
      <c r="M30" s="4"/>
      <c r="N30" s="4"/>
      <c r="O30" s="4"/>
      <c r="P30" s="4"/>
      <c r="Q30" s="4"/>
      <c r="R30" s="4"/>
      <c r="S30" s="4"/>
      <c r="T30" s="4"/>
      <c r="U30" s="4"/>
      <c r="V30" s="4" t="s">
        <v>39</v>
      </c>
      <c r="W30" s="4"/>
      <c r="X30" s="4" t="s">
        <v>40</v>
      </c>
      <c r="Y30" s="5" t="s">
        <v>152</v>
      </c>
      <c r="Z30" s="4" t="s">
        <v>42</v>
      </c>
      <c r="AA30" s="4" t="s">
        <v>40</v>
      </c>
      <c r="AB30" s="4" t="s">
        <v>43</v>
      </c>
      <c r="AC30" s="4" t="s">
        <v>44</v>
      </c>
      <c r="AD30" s="5"/>
    </row>
    <row r="31" customFormat="false" ht="23.85" hidden="false" customHeight="false" outlineLevel="0" collapsed="false">
      <c r="A31" s="4" t="s">
        <v>153</v>
      </c>
      <c r="B31" s="4" t="s">
        <v>33</v>
      </c>
      <c r="C31" s="4" t="s">
        <v>34</v>
      </c>
      <c r="D31" s="4" t="s">
        <v>46</v>
      </c>
      <c r="E31" s="4" t="s">
        <v>36</v>
      </c>
      <c r="F31" s="4" t="s">
        <v>154</v>
      </c>
      <c r="G31" s="4" t="s">
        <v>155</v>
      </c>
      <c r="H31" s="4"/>
      <c r="I31" s="4"/>
      <c r="J31" s="4"/>
      <c r="K31" s="4"/>
      <c r="L31" s="4"/>
      <c r="M31" s="4"/>
      <c r="N31" s="4"/>
      <c r="O31" s="4"/>
      <c r="P31" s="4"/>
      <c r="Q31" s="4"/>
      <c r="R31" s="4"/>
      <c r="S31" s="4"/>
      <c r="T31" s="4"/>
      <c r="U31" s="4"/>
      <c r="V31" s="4" t="s">
        <v>39</v>
      </c>
      <c r="W31" s="4"/>
      <c r="X31" s="4" t="s">
        <v>40</v>
      </c>
      <c r="Y31" s="5" t="s">
        <v>156</v>
      </c>
      <c r="Z31" s="4" t="s">
        <v>42</v>
      </c>
      <c r="AA31" s="4" t="s">
        <v>40</v>
      </c>
      <c r="AB31" s="4" t="s">
        <v>43</v>
      </c>
      <c r="AC31" s="4" t="s">
        <v>44</v>
      </c>
      <c r="AD31" s="5"/>
    </row>
    <row r="32" customFormat="false" ht="15" hidden="false" customHeight="false" outlineLevel="0" collapsed="false">
      <c r="A32" s="4" t="s">
        <v>157</v>
      </c>
      <c r="B32" s="4" t="s">
        <v>33</v>
      </c>
      <c r="C32" s="4" t="s">
        <v>34</v>
      </c>
      <c r="D32" s="4" t="s">
        <v>46</v>
      </c>
      <c r="E32" s="4" t="s">
        <v>36</v>
      </c>
      <c r="F32" s="4" t="s">
        <v>158</v>
      </c>
      <c r="G32" s="4" t="s">
        <v>159</v>
      </c>
      <c r="H32" s="4"/>
      <c r="I32" s="4"/>
      <c r="J32" s="4"/>
      <c r="K32" s="4"/>
      <c r="L32" s="4"/>
      <c r="M32" s="4"/>
      <c r="N32" s="4"/>
      <c r="O32" s="4"/>
      <c r="P32" s="4"/>
      <c r="Q32" s="4"/>
      <c r="R32" s="4"/>
      <c r="S32" s="4"/>
      <c r="T32" s="4"/>
      <c r="U32" s="4"/>
      <c r="V32" s="4" t="s">
        <v>39</v>
      </c>
      <c r="W32" s="4"/>
      <c r="X32" s="4" t="s">
        <v>40</v>
      </c>
      <c r="Y32" s="5" t="s">
        <v>160</v>
      </c>
      <c r="Z32" s="4" t="s">
        <v>42</v>
      </c>
      <c r="AA32" s="4" t="s">
        <v>40</v>
      </c>
      <c r="AB32" s="4" t="s">
        <v>43</v>
      </c>
      <c r="AC32" s="4" t="s">
        <v>44</v>
      </c>
      <c r="AD32" s="5"/>
    </row>
    <row r="33" customFormat="false" ht="23.85" hidden="false" customHeight="false" outlineLevel="0" collapsed="false">
      <c r="A33" s="4" t="s">
        <v>161</v>
      </c>
      <c r="B33" s="4" t="s">
        <v>33</v>
      </c>
      <c r="C33" s="4" t="s">
        <v>34</v>
      </c>
      <c r="D33" s="4" t="s">
        <v>46</v>
      </c>
      <c r="E33" s="4" t="s">
        <v>36</v>
      </c>
      <c r="F33" s="4" t="s">
        <v>162</v>
      </c>
      <c r="G33" s="4" t="s">
        <v>163</v>
      </c>
      <c r="H33" s="4"/>
      <c r="I33" s="4"/>
      <c r="J33" s="4"/>
      <c r="K33" s="4"/>
      <c r="L33" s="4"/>
      <c r="M33" s="4"/>
      <c r="N33" s="4"/>
      <c r="O33" s="4"/>
      <c r="P33" s="4"/>
      <c r="Q33" s="4"/>
      <c r="R33" s="4"/>
      <c r="S33" s="4"/>
      <c r="T33" s="4"/>
      <c r="U33" s="4"/>
      <c r="V33" s="4" t="s">
        <v>39</v>
      </c>
      <c r="W33" s="4"/>
      <c r="X33" s="4" t="s">
        <v>40</v>
      </c>
      <c r="Y33" s="5" t="s">
        <v>164</v>
      </c>
      <c r="Z33" s="4" t="s">
        <v>42</v>
      </c>
      <c r="AA33" s="4" t="s">
        <v>40</v>
      </c>
      <c r="AB33" s="4" t="s">
        <v>43</v>
      </c>
      <c r="AC33" s="4" t="s">
        <v>44</v>
      </c>
      <c r="AD33" s="5"/>
    </row>
    <row r="34" customFormat="false" ht="23.85" hidden="false" customHeight="false" outlineLevel="0" collapsed="false">
      <c r="A34" s="4" t="s">
        <v>165</v>
      </c>
      <c r="B34" s="4" t="s">
        <v>33</v>
      </c>
      <c r="C34" s="4" t="s">
        <v>34</v>
      </c>
      <c r="D34" s="4" t="s">
        <v>46</v>
      </c>
      <c r="E34" s="4" t="s">
        <v>36</v>
      </c>
      <c r="F34" s="4" t="s">
        <v>166</v>
      </c>
      <c r="G34" s="4" t="s">
        <v>167</v>
      </c>
      <c r="H34" s="4"/>
      <c r="I34" s="4"/>
      <c r="J34" s="4"/>
      <c r="K34" s="4"/>
      <c r="L34" s="4"/>
      <c r="M34" s="4"/>
      <c r="N34" s="4"/>
      <c r="O34" s="4"/>
      <c r="P34" s="4"/>
      <c r="Q34" s="4"/>
      <c r="R34" s="4"/>
      <c r="S34" s="4"/>
      <c r="T34" s="4"/>
      <c r="U34" s="4"/>
      <c r="V34" s="4" t="s">
        <v>39</v>
      </c>
      <c r="W34" s="4"/>
      <c r="X34" s="4" t="s">
        <v>40</v>
      </c>
      <c r="Y34" s="5" t="s">
        <v>168</v>
      </c>
      <c r="Z34" s="4" t="s">
        <v>42</v>
      </c>
      <c r="AA34" s="4" t="s">
        <v>40</v>
      </c>
      <c r="AB34" s="4" t="s">
        <v>43</v>
      </c>
      <c r="AC34" s="4" t="s">
        <v>44</v>
      </c>
      <c r="AD34" s="5"/>
    </row>
    <row r="35" customFormat="false" ht="15" hidden="false" customHeight="false" outlineLevel="0" collapsed="false">
      <c r="A35" s="4" t="s">
        <v>169</v>
      </c>
      <c r="B35" s="4" t="s">
        <v>33</v>
      </c>
      <c r="C35" s="4" t="s">
        <v>34</v>
      </c>
      <c r="D35" s="4" t="s">
        <v>46</v>
      </c>
      <c r="E35" s="4" t="s">
        <v>36</v>
      </c>
      <c r="F35" s="4" t="s">
        <v>170</v>
      </c>
      <c r="G35" s="4" t="s">
        <v>171</v>
      </c>
      <c r="H35" s="4"/>
      <c r="I35" s="4"/>
      <c r="J35" s="4"/>
      <c r="K35" s="4"/>
      <c r="L35" s="4"/>
      <c r="M35" s="4"/>
      <c r="N35" s="4"/>
      <c r="O35" s="4"/>
      <c r="P35" s="4"/>
      <c r="Q35" s="4"/>
      <c r="R35" s="4"/>
      <c r="S35" s="4"/>
      <c r="T35" s="4"/>
      <c r="U35" s="4"/>
      <c r="V35" s="4" t="s">
        <v>39</v>
      </c>
      <c r="W35" s="4"/>
      <c r="X35" s="4" t="s">
        <v>40</v>
      </c>
      <c r="Y35" s="5" t="s">
        <v>172</v>
      </c>
      <c r="Z35" s="4" t="s">
        <v>42</v>
      </c>
      <c r="AA35" s="4" t="s">
        <v>40</v>
      </c>
      <c r="AB35" s="4" t="s">
        <v>43</v>
      </c>
      <c r="AC35" s="4" t="s">
        <v>44</v>
      </c>
      <c r="AD35" s="5"/>
    </row>
    <row r="36" customFormat="false" ht="23.85" hidden="false" customHeight="false" outlineLevel="0" collapsed="false">
      <c r="A36" s="4" t="s">
        <v>173</v>
      </c>
      <c r="B36" s="4" t="s">
        <v>33</v>
      </c>
      <c r="C36" s="4" t="s">
        <v>34</v>
      </c>
      <c r="D36" s="4" t="s">
        <v>61</v>
      </c>
      <c r="E36" s="4" t="s">
        <v>36</v>
      </c>
      <c r="F36" s="4" t="s">
        <v>174</v>
      </c>
      <c r="G36" s="4" t="s">
        <v>175</v>
      </c>
      <c r="H36" s="4"/>
      <c r="I36" s="4"/>
      <c r="J36" s="4"/>
      <c r="K36" s="4"/>
      <c r="L36" s="4"/>
      <c r="M36" s="4"/>
      <c r="N36" s="4"/>
      <c r="O36" s="4"/>
      <c r="P36" s="4"/>
      <c r="Q36" s="4"/>
      <c r="R36" s="4"/>
      <c r="S36" s="4"/>
      <c r="T36" s="4"/>
      <c r="U36" s="4"/>
      <c r="V36" s="4" t="s">
        <v>39</v>
      </c>
      <c r="W36" s="4"/>
      <c r="X36" s="4" t="s">
        <v>40</v>
      </c>
      <c r="Y36" s="5" t="s">
        <v>176</v>
      </c>
      <c r="Z36" s="4" t="s">
        <v>42</v>
      </c>
      <c r="AA36" s="4" t="s">
        <v>40</v>
      </c>
      <c r="AB36" s="4" t="s">
        <v>43</v>
      </c>
      <c r="AC36" s="4" t="s">
        <v>44</v>
      </c>
      <c r="AD36" s="5"/>
    </row>
    <row r="37" customFormat="false" ht="23.85" hidden="false" customHeight="false" outlineLevel="0" collapsed="false">
      <c r="A37" s="4" t="s">
        <v>177</v>
      </c>
      <c r="B37" s="4" t="s">
        <v>33</v>
      </c>
      <c r="C37" s="4" t="s">
        <v>34</v>
      </c>
      <c r="D37" s="4" t="s">
        <v>61</v>
      </c>
      <c r="E37" s="4" t="s">
        <v>36</v>
      </c>
      <c r="F37" s="4" t="s">
        <v>178</v>
      </c>
      <c r="G37" s="4" t="s">
        <v>179</v>
      </c>
      <c r="H37" s="4"/>
      <c r="I37" s="4"/>
      <c r="J37" s="4"/>
      <c r="K37" s="4"/>
      <c r="L37" s="4"/>
      <c r="M37" s="4"/>
      <c r="N37" s="4"/>
      <c r="O37" s="4"/>
      <c r="P37" s="4"/>
      <c r="Q37" s="4"/>
      <c r="R37" s="4"/>
      <c r="S37" s="4"/>
      <c r="T37" s="4"/>
      <c r="U37" s="4"/>
      <c r="V37" s="4" t="s">
        <v>39</v>
      </c>
      <c r="W37" s="4"/>
      <c r="X37" s="4" t="s">
        <v>40</v>
      </c>
      <c r="Y37" s="5" t="s">
        <v>180</v>
      </c>
      <c r="Z37" s="4" t="s">
        <v>42</v>
      </c>
      <c r="AA37" s="4" t="s">
        <v>40</v>
      </c>
      <c r="AB37" s="4" t="s">
        <v>43</v>
      </c>
      <c r="AC37" s="4" t="s">
        <v>44</v>
      </c>
      <c r="AD37" s="5"/>
    </row>
    <row r="38" customFormat="false" ht="23.85" hidden="false" customHeight="false" outlineLevel="0" collapsed="false">
      <c r="A38" s="4" t="s">
        <v>181</v>
      </c>
      <c r="B38" s="4" t="s">
        <v>33</v>
      </c>
      <c r="C38" s="4" t="s">
        <v>34</v>
      </c>
      <c r="D38" s="4" t="s">
        <v>61</v>
      </c>
      <c r="E38" s="4" t="s">
        <v>36</v>
      </c>
      <c r="F38" s="4" t="s">
        <v>182</v>
      </c>
      <c r="G38" s="4" t="s">
        <v>183</v>
      </c>
      <c r="H38" s="4"/>
      <c r="I38" s="4"/>
      <c r="J38" s="4"/>
      <c r="K38" s="4"/>
      <c r="L38" s="4"/>
      <c r="M38" s="4"/>
      <c r="N38" s="4"/>
      <c r="O38" s="4"/>
      <c r="P38" s="4"/>
      <c r="Q38" s="4"/>
      <c r="R38" s="4"/>
      <c r="S38" s="4"/>
      <c r="T38" s="4"/>
      <c r="U38" s="4"/>
      <c r="V38" s="4" t="s">
        <v>39</v>
      </c>
      <c r="W38" s="4"/>
      <c r="X38" s="4" t="s">
        <v>40</v>
      </c>
      <c r="Y38" s="5" t="s">
        <v>184</v>
      </c>
      <c r="Z38" s="4" t="s">
        <v>42</v>
      </c>
      <c r="AA38" s="4" t="s">
        <v>40</v>
      </c>
      <c r="AB38" s="4" t="s">
        <v>43</v>
      </c>
      <c r="AC38" s="4" t="s">
        <v>44</v>
      </c>
      <c r="AD38" s="5"/>
    </row>
    <row r="39" customFormat="false" ht="15" hidden="false" customHeight="false" outlineLevel="0" collapsed="false">
      <c r="A39" s="4" t="s">
        <v>185</v>
      </c>
      <c r="B39" s="4" t="s">
        <v>33</v>
      </c>
      <c r="C39" s="4" t="s">
        <v>34</v>
      </c>
      <c r="D39" s="4" t="s">
        <v>61</v>
      </c>
      <c r="E39" s="4" t="s">
        <v>36</v>
      </c>
      <c r="F39" s="4" t="s">
        <v>186</v>
      </c>
      <c r="G39" s="4" t="s">
        <v>187</v>
      </c>
      <c r="H39" s="4"/>
      <c r="I39" s="4"/>
      <c r="J39" s="4"/>
      <c r="K39" s="4"/>
      <c r="L39" s="4"/>
      <c r="M39" s="4"/>
      <c r="N39" s="4"/>
      <c r="O39" s="4"/>
      <c r="P39" s="4"/>
      <c r="Q39" s="4"/>
      <c r="R39" s="4"/>
      <c r="S39" s="4"/>
      <c r="T39" s="4"/>
      <c r="U39" s="4"/>
      <c r="V39" s="4" t="s">
        <v>39</v>
      </c>
      <c r="W39" s="4"/>
      <c r="X39" s="4" t="s">
        <v>40</v>
      </c>
      <c r="Y39" s="5" t="s">
        <v>188</v>
      </c>
      <c r="Z39" s="4" t="s">
        <v>42</v>
      </c>
      <c r="AA39" s="4" t="s">
        <v>40</v>
      </c>
      <c r="AB39" s="4" t="s">
        <v>43</v>
      </c>
      <c r="AC39" s="4" t="s">
        <v>44</v>
      </c>
      <c r="AD39" s="5"/>
    </row>
    <row r="40" customFormat="false" ht="23.85" hidden="false" customHeight="false" outlineLevel="0" collapsed="false">
      <c r="A40" s="4" t="s">
        <v>189</v>
      </c>
      <c r="B40" s="4" t="s">
        <v>33</v>
      </c>
      <c r="C40" s="4" t="s">
        <v>34</v>
      </c>
      <c r="D40" s="4" t="s">
        <v>61</v>
      </c>
      <c r="E40" s="4" t="s">
        <v>51</v>
      </c>
      <c r="F40" s="4" t="s">
        <v>190</v>
      </c>
      <c r="G40" s="4" t="s">
        <v>191</v>
      </c>
      <c r="H40" s="4"/>
      <c r="I40" s="4"/>
      <c r="J40" s="4"/>
      <c r="K40" s="4"/>
      <c r="L40" s="4"/>
      <c r="M40" s="4"/>
      <c r="N40" s="4"/>
      <c r="O40" s="4"/>
      <c r="P40" s="4"/>
      <c r="Q40" s="4"/>
      <c r="R40" s="4"/>
      <c r="S40" s="4"/>
      <c r="T40" s="4"/>
      <c r="U40" s="4"/>
      <c r="V40" s="4" t="s">
        <v>39</v>
      </c>
      <c r="W40" s="4"/>
      <c r="X40" s="4" t="s">
        <v>40</v>
      </c>
      <c r="Y40" s="5" t="s">
        <v>192</v>
      </c>
      <c r="Z40" s="4" t="s">
        <v>42</v>
      </c>
      <c r="AA40" s="4" t="s">
        <v>40</v>
      </c>
      <c r="AB40" s="4" t="s">
        <v>43</v>
      </c>
      <c r="AC40" s="4" t="s">
        <v>44</v>
      </c>
      <c r="AD40" s="5"/>
    </row>
    <row r="41" customFormat="false" ht="23.85" hidden="false" customHeight="false" outlineLevel="0" collapsed="false">
      <c r="A41" s="4" t="s">
        <v>193</v>
      </c>
      <c r="B41" s="4" t="s">
        <v>33</v>
      </c>
      <c r="C41" s="4" t="s">
        <v>34</v>
      </c>
      <c r="D41" s="4" t="s">
        <v>61</v>
      </c>
      <c r="E41" s="4" t="s">
        <v>36</v>
      </c>
      <c r="F41" s="4" t="s">
        <v>194</v>
      </c>
      <c r="G41" s="4" t="s">
        <v>195</v>
      </c>
      <c r="H41" s="4"/>
      <c r="I41" s="4"/>
      <c r="J41" s="4"/>
      <c r="K41" s="4"/>
      <c r="L41" s="4"/>
      <c r="M41" s="4"/>
      <c r="N41" s="4"/>
      <c r="O41" s="4"/>
      <c r="P41" s="4"/>
      <c r="Q41" s="4"/>
      <c r="R41" s="4"/>
      <c r="S41" s="4"/>
      <c r="T41" s="4"/>
      <c r="U41" s="4"/>
      <c r="V41" s="4" t="s">
        <v>39</v>
      </c>
      <c r="W41" s="4"/>
      <c r="X41" s="4" t="s">
        <v>40</v>
      </c>
      <c r="Y41" s="5" t="s">
        <v>196</v>
      </c>
      <c r="Z41" s="4" t="s">
        <v>42</v>
      </c>
      <c r="AA41" s="4" t="s">
        <v>40</v>
      </c>
      <c r="AB41" s="4" t="s">
        <v>43</v>
      </c>
      <c r="AC41" s="4" t="s">
        <v>44</v>
      </c>
      <c r="AD41" s="5"/>
    </row>
    <row r="42" customFormat="false" ht="15" hidden="false" customHeight="false" outlineLevel="0" collapsed="false">
      <c r="A42" s="4" t="s">
        <v>197</v>
      </c>
      <c r="B42" s="4" t="s">
        <v>33</v>
      </c>
      <c r="C42" s="4" t="s">
        <v>34</v>
      </c>
      <c r="D42" s="4" t="s">
        <v>61</v>
      </c>
      <c r="E42" s="4" t="s">
        <v>36</v>
      </c>
      <c r="F42" s="4" t="s">
        <v>198</v>
      </c>
      <c r="G42" s="4" t="s">
        <v>199</v>
      </c>
      <c r="H42" s="4"/>
      <c r="I42" s="4"/>
      <c r="J42" s="4"/>
      <c r="K42" s="4"/>
      <c r="L42" s="4"/>
      <c r="M42" s="4"/>
      <c r="N42" s="4"/>
      <c r="O42" s="4"/>
      <c r="P42" s="4"/>
      <c r="Q42" s="4"/>
      <c r="R42" s="4"/>
      <c r="S42" s="4"/>
      <c r="T42" s="4"/>
      <c r="U42" s="4"/>
      <c r="V42" s="4" t="s">
        <v>39</v>
      </c>
      <c r="W42" s="4"/>
      <c r="X42" s="4" t="s">
        <v>40</v>
      </c>
      <c r="Y42" s="5" t="s">
        <v>200</v>
      </c>
      <c r="Z42" s="4" t="s">
        <v>42</v>
      </c>
      <c r="AA42" s="4" t="s">
        <v>40</v>
      </c>
      <c r="AB42" s="4" t="s">
        <v>43</v>
      </c>
      <c r="AC42" s="4" t="s">
        <v>44</v>
      </c>
      <c r="AD42" s="5"/>
    </row>
    <row r="43" customFormat="false" ht="15" hidden="false" customHeight="false" outlineLevel="0" collapsed="false">
      <c r="A43" s="4" t="s">
        <v>201</v>
      </c>
      <c r="B43" s="4" t="s">
        <v>33</v>
      </c>
      <c r="C43" s="4" t="s">
        <v>34</v>
      </c>
      <c r="D43" s="4" t="s">
        <v>61</v>
      </c>
      <c r="E43" s="4" t="s">
        <v>36</v>
      </c>
      <c r="F43" s="4" t="s">
        <v>202</v>
      </c>
      <c r="G43" s="4" t="s">
        <v>203</v>
      </c>
      <c r="H43" s="4"/>
      <c r="I43" s="4"/>
      <c r="J43" s="4"/>
      <c r="K43" s="4"/>
      <c r="L43" s="4"/>
      <c r="M43" s="4"/>
      <c r="N43" s="4"/>
      <c r="O43" s="4"/>
      <c r="P43" s="4"/>
      <c r="Q43" s="4"/>
      <c r="R43" s="4"/>
      <c r="S43" s="4"/>
      <c r="T43" s="4"/>
      <c r="U43" s="4"/>
      <c r="V43" s="4" t="s">
        <v>39</v>
      </c>
      <c r="W43" s="4"/>
      <c r="X43" s="4" t="s">
        <v>40</v>
      </c>
      <c r="Y43" s="5" t="s">
        <v>204</v>
      </c>
      <c r="Z43" s="4" t="s">
        <v>42</v>
      </c>
      <c r="AA43" s="4" t="s">
        <v>40</v>
      </c>
      <c r="AB43" s="4" t="s">
        <v>43</v>
      </c>
      <c r="AC43" s="4" t="s">
        <v>44</v>
      </c>
      <c r="AD43" s="5"/>
    </row>
    <row r="44" customFormat="false" ht="23.85" hidden="false" customHeight="false" outlineLevel="0" collapsed="false">
      <c r="A44" s="4" t="s">
        <v>205</v>
      </c>
      <c r="B44" s="4" t="s">
        <v>33</v>
      </c>
      <c r="C44" s="4" t="s">
        <v>34</v>
      </c>
      <c r="D44" s="4" t="s">
        <v>61</v>
      </c>
      <c r="E44" s="4" t="s">
        <v>51</v>
      </c>
      <c r="F44" s="4" t="s">
        <v>206</v>
      </c>
      <c r="G44" s="4" t="s">
        <v>207</v>
      </c>
      <c r="H44" s="4"/>
      <c r="I44" s="4"/>
      <c r="J44" s="4"/>
      <c r="K44" s="4"/>
      <c r="L44" s="4"/>
      <c r="M44" s="4"/>
      <c r="N44" s="4"/>
      <c r="O44" s="4"/>
      <c r="P44" s="4"/>
      <c r="Q44" s="4"/>
      <c r="R44" s="4"/>
      <c r="S44" s="4"/>
      <c r="T44" s="4"/>
      <c r="U44" s="4"/>
      <c r="V44" s="4" t="s">
        <v>39</v>
      </c>
      <c r="W44" s="4"/>
      <c r="X44" s="4" t="s">
        <v>40</v>
      </c>
      <c r="Y44" s="5" t="s">
        <v>208</v>
      </c>
      <c r="Z44" s="4" t="s">
        <v>42</v>
      </c>
      <c r="AA44" s="4" t="s">
        <v>40</v>
      </c>
      <c r="AB44" s="4" t="s">
        <v>43</v>
      </c>
      <c r="AC44" s="4" t="s">
        <v>44</v>
      </c>
      <c r="AD44" s="5"/>
    </row>
    <row r="45" customFormat="false" ht="23.85" hidden="false" customHeight="false" outlineLevel="0" collapsed="false">
      <c r="A45" s="4" t="s">
        <v>209</v>
      </c>
      <c r="B45" s="4" t="s">
        <v>33</v>
      </c>
      <c r="C45" s="4" t="s">
        <v>34</v>
      </c>
      <c r="D45" s="4" t="s">
        <v>61</v>
      </c>
      <c r="E45" s="4" t="s">
        <v>36</v>
      </c>
      <c r="F45" s="4" t="s">
        <v>210</v>
      </c>
      <c r="G45" s="4" t="s">
        <v>211</v>
      </c>
      <c r="H45" s="4"/>
      <c r="I45" s="4"/>
      <c r="J45" s="4"/>
      <c r="K45" s="4"/>
      <c r="L45" s="4"/>
      <c r="M45" s="4"/>
      <c r="N45" s="4"/>
      <c r="O45" s="4"/>
      <c r="P45" s="4"/>
      <c r="Q45" s="4"/>
      <c r="R45" s="4"/>
      <c r="S45" s="4"/>
      <c r="T45" s="4"/>
      <c r="U45" s="4"/>
      <c r="V45" s="4" t="s">
        <v>39</v>
      </c>
      <c r="W45" s="4"/>
      <c r="X45" s="4" t="s">
        <v>40</v>
      </c>
      <c r="Y45" s="5" t="s">
        <v>212</v>
      </c>
      <c r="Z45" s="4" t="s">
        <v>42</v>
      </c>
      <c r="AA45" s="4" t="s">
        <v>40</v>
      </c>
      <c r="AB45" s="4" t="s">
        <v>43</v>
      </c>
      <c r="AC45" s="4" t="s">
        <v>44</v>
      </c>
      <c r="AD45" s="5"/>
    </row>
    <row r="46" customFormat="false" ht="23.85" hidden="false" customHeight="false" outlineLevel="0" collapsed="false">
      <c r="A46" s="4" t="s">
        <v>213</v>
      </c>
      <c r="B46" s="4" t="s">
        <v>33</v>
      </c>
      <c r="C46" s="4" t="s">
        <v>34</v>
      </c>
      <c r="D46" s="4" t="s">
        <v>61</v>
      </c>
      <c r="E46" s="4" t="s">
        <v>51</v>
      </c>
      <c r="F46" s="4" t="s">
        <v>214</v>
      </c>
      <c r="G46" s="4" t="s">
        <v>215</v>
      </c>
      <c r="H46" s="4"/>
      <c r="I46" s="4"/>
      <c r="J46" s="4"/>
      <c r="K46" s="4"/>
      <c r="L46" s="4"/>
      <c r="M46" s="4"/>
      <c r="N46" s="4"/>
      <c r="O46" s="4"/>
      <c r="P46" s="4"/>
      <c r="Q46" s="4"/>
      <c r="R46" s="4"/>
      <c r="S46" s="4"/>
      <c r="T46" s="4"/>
      <c r="U46" s="4"/>
      <c r="V46" s="4" t="s">
        <v>39</v>
      </c>
      <c r="W46" s="4"/>
      <c r="X46" s="4" t="s">
        <v>40</v>
      </c>
      <c r="Y46" s="5" t="s">
        <v>216</v>
      </c>
      <c r="Z46" s="4" t="s">
        <v>42</v>
      </c>
      <c r="AA46" s="4" t="s">
        <v>40</v>
      </c>
      <c r="AB46" s="4" t="s">
        <v>43</v>
      </c>
      <c r="AC46" s="4" t="s">
        <v>44</v>
      </c>
      <c r="AD46" s="5"/>
    </row>
    <row r="47" customFormat="false" ht="23.85" hidden="false" customHeight="false" outlineLevel="0" collapsed="false">
      <c r="A47" s="4" t="s">
        <v>217</v>
      </c>
      <c r="B47" s="4" t="s">
        <v>33</v>
      </c>
      <c r="C47" s="4" t="s">
        <v>34</v>
      </c>
      <c r="D47" s="4" t="s">
        <v>61</v>
      </c>
      <c r="E47" s="4" t="s">
        <v>36</v>
      </c>
      <c r="F47" s="4" t="s">
        <v>218</v>
      </c>
      <c r="G47" s="4" t="s">
        <v>219</v>
      </c>
      <c r="H47" s="4"/>
      <c r="I47" s="4"/>
      <c r="J47" s="4"/>
      <c r="K47" s="4"/>
      <c r="L47" s="4"/>
      <c r="M47" s="4"/>
      <c r="N47" s="4"/>
      <c r="O47" s="4"/>
      <c r="P47" s="4"/>
      <c r="Q47" s="4"/>
      <c r="R47" s="4"/>
      <c r="S47" s="4"/>
      <c r="T47" s="4"/>
      <c r="U47" s="4"/>
      <c r="V47" s="4" t="s">
        <v>39</v>
      </c>
      <c r="W47" s="4"/>
      <c r="X47" s="4" t="s">
        <v>40</v>
      </c>
      <c r="Y47" s="5" t="s">
        <v>220</v>
      </c>
      <c r="Z47" s="4" t="s">
        <v>42</v>
      </c>
      <c r="AA47" s="4" t="s">
        <v>40</v>
      </c>
      <c r="AB47" s="4" t="s">
        <v>43</v>
      </c>
      <c r="AC47" s="4" t="s">
        <v>44</v>
      </c>
      <c r="AD47" s="5"/>
    </row>
    <row r="48" customFormat="false" ht="23.85" hidden="false" customHeight="false" outlineLevel="0" collapsed="false">
      <c r="A48" s="4" t="s">
        <v>221</v>
      </c>
      <c r="B48" s="4" t="s">
        <v>33</v>
      </c>
      <c r="C48" s="4" t="s">
        <v>34</v>
      </c>
      <c r="D48" s="4" t="s">
        <v>61</v>
      </c>
      <c r="E48" s="4" t="s">
        <v>36</v>
      </c>
      <c r="F48" s="4" t="s">
        <v>222</v>
      </c>
      <c r="G48" s="4" t="s">
        <v>223</v>
      </c>
      <c r="H48" s="4"/>
      <c r="I48" s="4"/>
      <c r="J48" s="4"/>
      <c r="K48" s="4"/>
      <c r="L48" s="4"/>
      <c r="M48" s="4"/>
      <c r="N48" s="4"/>
      <c r="O48" s="4"/>
      <c r="P48" s="4"/>
      <c r="Q48" s="4"/>
      <c r="R48" s="4"/>
      <c r="S48" s="4"/>
      <c r="T48" s="4"/>
      <c r="U48" s="4"/>
      <c r="V48" s="4" t="s">
        <v>39</v>
      </c>
      <c r="W48" s="4"/>
      <c r="X48" s="4" t="s">
        <v>40</v>
      </c>
      <c r="Y48" s="5" t="s">
        <v>224</v>
      </c>
      <c r="Z48" s="4" t="s">
        <v>42</v>
      </c>
      <c r="AA48" s="4" t="s">
        <v>40</v>
      </c>
      <c r="AB48" s="4" t="s">
        <v>43</v>
      </c>
      <c r="AC48" s="4" t="s">
        <v>44</v>
      </c>
      <c r="AD48" s="5"/>
    </row>
    <row r="49" customFormat="false" ht="23.85" hidden="false" customHeight="false" outlineLevel="0" collapsed="false">
      <c r="A49" s="4" t="s">
        <v>225</v>
      </c>
      <c r="B49" s="4" t="s">
        <v>33</v>
      </c>
      <c r="C49" s="4" t="s">
        <v>34</v>
      </c>
      <c r="D49" s="4" t="s">
        <v>61</v>
      </c>
      <c r="E49" s="4" t="s">
        <v>36</v>
      </c>
      <c r="F49" s="4" t="s">
        <v>226</v>
      </c>
      <c r="G49" s="4" t="s">
        <v>227</v>
      </c>
      <c r="H49" s="4"/>
      <c r="I49" s="4"/>
      <c r="J49" s="4"/>
      <c r="K49" s="4"/>
      <c r="L49" s="4"/>
      <c r="M49" s="4"/>
      <c r="N49" s="4"/>
      <c r="O49" s="4"/>
      <c r="P49" s="4"/>
      <c r="Q49" s="4"/>
      <c r="R49" s="4"/>
      <c r="S49" s="4"/>
      <c r="T49" s="4"/>
      <c r="U49" s="4"/>
      <c r="V49" s="4" t="s">
        <v>39</v>
      </c>
      <c r="W49" s="4"/>
      <c r="X49" s="4" t="s">
        <v>40</v>
      </c>
      <c r="Y49" s="5" t="s">
        <v>228</v>
      </c>
      <c r="Z49" s="4" t="s">
        <v>42</v>
      </c>
      <c r="AA49" s="4" t="s">
        <v>40</v>
      </c>
      <c r="AB49" s="4" t="s">
        <v>43</v>
      </c>
      <c r="AC49" s="4" t="s">
        <v>44</v>
      </c>
      <c r="AD49" s="5"/>
    </row>
    <row r="50" customFormat="false" ht="23.85" hidden="false" customHeight="false" outlineLevel="0" collapsed="false">
      <c r="A50" s="4" t="s">
        <v>229</v>
      </c>
      <c r="B50" s="4" t="s">
        <v>33</v>
      </c>
      <c r="C50" s="4" t="s">
        <v>34</v>
      </c>
      <c r="D50" s="4" t="s">
        <v>61</v>
      </c>
      <c r="E50" s="4" t="s">
        <v>36</v>
      </c>
      <c r="F50" s="4" t="s">
        <v>230</v>
      </c>
      <c r="G50" s="4" t="s">
        <v>231</v>
      </c>
      <c r="H50" s="4"/>
      <c r="I50" s="4"/>
      <c r="J50" s="4"/>
      <c r="K50" s="4"/>
      <c r="L50" s="4"/>
      <c r="M50" s="4"/>
      <c r="N50" s="4"/>
      <c r="O50" s="4"/>
      <c r="P50" s="4"/>
      <c r="Q50" s="4"/>
      <c r="R50" s="4"/>
      <c r="S50" s="4"/>
      <c r="T50" s="4"/>
      <c r="U50" s="4"/>
      <c r="V50" s="4" t="s">
        <v>39</v>
      </c>
      <c r="W50" s="4"/>
      <c r="X50" s="4" t="s">
        <v>40</v>
      </c>
      <c r="Y50" s="5" t="s">
        <v>232</v>
      </c>
      <c r="Z50" s="4" t="s">
        <v>42</v>
      </c>
      <c r="AA50" s="4" t="s">
        <v>40</v>
      </c>
      <c r="AB50" s="4" t="s">
        <v>43</v>
      </c>
      <c r="AC50" s="4" t="s">
        <v>44</v>
      </c>
      <c r="AD50" s="5"/>
    </row>
    <row r="51" customFormat="false" ht="23.85" hidden="false" customHeight="false" outlineLevel="0" collapsed="false">
      <c r="A51" s="4" t="s">
        <v>233</v>
      </c>
      <c r="B51" s="4" t="s">
        <v>33</v>
      </c>
      <c r="C51" s="4" t="s">
        <v>34</v>
      </c>
      <c r="D51" s="4" t="s">
        <v>61</v>
      </c>
      <c r="E51" s="4" t="s">
        <v>36</v>
      </c>
      <c r="F51" s="4" t="s">
        <v>234</v>
      </c>
      <c r="G51" s="4" t="s">
        <v>235</v>
      </c>
      <c r="H51" s="4"/>
      <c r="I51" s="4"/>
      <c r="J51" s="4"/>
      <c r="K51" s="4"/>
      <c r="L51" s="4"/>
      <c r="M51" s="4"/>
      <c r="N51" s="4"/>
      <c r="O51" s="4"/>
      <c r="P51" s="4"/>
      <c r="Q51" s="4"/>
      <c r="R51" s="4"/>
      <c r="S51" s="4"/>
      <c r="T51" s="4"/>
      <c r="U51" s="4"/>
      <c r="V51" s="4" t="s">
        <v>39</v>
      </c>
      <c r="W51" s="4"/>
      <c r="X51" s="4" t="s">
        <v>40</v>
      </c>
      <c r="Y51" s="5" t="s">
        <v>236</v>
      </c>
      <c r="Z51" s="4" t="s">
        <v>42</v>
      </c>
      <c r="AA51" s="4" t="s">
        <v>40</v>
      </c>
      <c r="AB51" s="4" t="s">
        <v>43</v>
      </c>
      <c r="AC51" s="4" t="s">
        <v>44</v>
      </c>
      <c r="AD51" s="5"/>
    </row>
    <row r="52" customFormat="false" ht="23.85" hidden="false" customHeight="false" outlineLevel="0" collapsed="false">
      <c r="A52" s="4" t="s">
        <v>237</v>
      </c>
      <c r="B52" s="4" t="s">
        <v>33</v>
      </c>
      <c r="C52" s="4" t="s">
        <v>34</v>
      </c>
      <c r="D52" s="4" t="s">
        <v>61</v>
      </c>
      <c r="E52" s="4" t="s">
        <v>36</v>
      </c>
      <c r="F52" s="4" t="s">
        <v>238</v>
      </c>
      <c r="G52" s="4" t="s">
        <v>239</v>
      </c>
      <c r="H52" s="4"/>
      <c r="I52" s="4"/>
      <c r="J52" s="4"/>
      <c r="K52" s="4"/>
      <c r="L52" s="4"/>
      <c r="M52" s="4"/>
      <c r="N52" s="4"/>
      <c r="O52" s="4"/>
      <c r="P52" s="4"/>
      <c r="Q52" s="4"/>
      <c r="R52" s="4"/>
      <c r="S52" s="4"/>
      <c r="T52" s="4"/>
      <c r="U52" s="4"/>
      <c r="V52" s="4" t="s">
        <v>39</v>
      </c>
      <c r="W52" s="4"/>
      <c r="X52" s="4" t="s">
        <v>40</v>
      </c>
      <c r="Y52" s="5" t="s">
        <v>240</v>
      </c>
      <c r="Z52" s="4" t="s">
        <v>42</v>
      </c>
      <c r="AA52" s="4" t="s">
        <v>40</v>
      </c>
      <c r="AB52" s="4" t="s">
        <v>43</v>
      </c>
      <c r="AC52" s="4" t="s">
        <v>44</v>
      </c>
      <c r="AD52" s="5"/>
    </row>
    <row r="53" customFormat="false" ht="15" hidden="false" customHeight="false" outlineLevel="0" collapsed="false">
      <c r="A53" s="4" t="s">
        <v>241</v>
      </c>
      <c r="B53" s="4" t="s">
        <v>33</v>
      </c>
      <c r="C53" s="4" t="s">
        <v>34</v>
      </c>
      <c r="D53" s="4" t="s">
        <v>61</v>
      </c>
      <c r="E53" s="4" t="s">
        <v>36</v>
      </c>
      <c r="F53" s="4" t="s">
        <v>242</v>
      </c>
      <c r="G53" s="4" t="s">
        <v>243</v>
      </c>
      <c r="H53" s="4"/>
      <c r="I53" s="4"/>
      <c r="J53" s="4"/>
      <c r="K53" s="4"/>
      <c r="L53" s="4"/>
      <c r="M53" s="4"/>
      <c r="N53" s="4"/>
      <c r="O53" s="4"/>
      <c r="P53" s="4"/>
      <c r="Q53" s="4"/>
      <c r="R53" s="4"/>
      <c r="S53" s="4"/>
      <c r="T53" s="4"/>
      <c r="U53" s="4"/>
      <c r="V53" s="4" t="s">
        <v>39</v>
      </c>
      <c r="W53" s="4"/>
      <c r="X53" s="4" t="s">
        <v>40</v>
      </c>
      <c r="Y53" s="5" t="s">
        <v>244</v>
      </c>
      <c r="Z53" s="4" t="s">
        <v>245</v>
      </c>
      <c r="AA53" s="4" t="s">
        <v>43</v>
      </c>
      <c r="AB53" s="4" t="s">
        <v>43</v>
      </c>
      <c r="AC53" s="4" t="s">
        <v>44</v>
      </c>
      <c r="AD53" s="5"/>
    </row>
    <row r="54" customFormat="false" ht="23.85" hidden="false" customHeight="false" outlineLevel="0" collapsed="false">
      <c r="A54" s="4" t="s">
        <v>246</v>
      </c>
      <c r="B54" s="4" t="s">
        <v>33</v>
      </c>
      <c r="C54" s="4" t="s">
        <v>34</v>
      </c>
      <c r="D54" s="4" t="s">
        <v>86</v>
      </c>
      <c r="E54" s="4" t="s">
        <v>51</v>
      </c>
      <c r="F54" s="4" t="s">
        <v>247</v>
      </c>
      <c r="G54" s="4" t="s">
        <v>248</v>
      </c>
      <c r="H54" s="4"/>
      <c r="I54" s="4"/>
      <c r="J54" s="4"/>
      <c r="K54" s="4"/>
      <c r="L54" s="4"/>
      <c r="M54" s="4"/>
      <c r="N54" s="4"/>
      <c r="O54" s="4"/>
      <c r="P54" s="4"/>
      <c r="Q54" s="4"/>
      <c r="R54" s="4"/>
      <c r="S54" s="4"/>
      <c r="T54" s="4"/>
      <c r="U54" s="4"/>
      <c r="V54" s="4" t="s">
        <v>39</v>
      </c>
      <c r="W54" s="4"/>
      <c r="X54" s="4" t="s">
        <v>40</v>
      </c>
      <c r="Y54" s="5" t="s">
        <v>249</v>
      </c>
      <c r="Z54" s="4" t="s">
        <v>245</v>
      </c>
      <c r="AA54" s="4" t="s">
        <v>43</v>
      </c>
      <c r="AB54" s="4" t="s">
        <v>43</v>
      </c>
      <c r="AC54" s="4" t="s">
        <v>44</v>
      </c>
      <c r="AD54" s="5"/>
    </row>
    <row r="55" customFormat="false" ht="23.85" hidden="false" customHeight="false" outlineLevel="0" collapsed="false">
      <c r="A55" s="4" t="s">
        <v>250</v>
      </c>
      <c r="B55" s="4" t="s">
        <v>33</v>
      </c>
      <c r="C55" s="4" t="s">
        <v>34</v>
      </c>
      <c r="D55" s="4" t="s">
        <v>86</v>
      </c>
      <c r="E55" s="4" t="s">
        <v>36</v>
      </c>
      <c r="F55" s="4" t="s">
        <v>251</v>
      </c>
      <c r="G55" s="4" t="s">
        <v>252</v>
      </c>
      <c r="H55" s="4"/>
      <c r="I55" s="4"/>
      <c r="J55" s="4"/>
      <c r="K55" s="4"/>
      <c r="L55" s="4"/>
      <c r="M55" s="4"/>
      <c r="N55" s="4"/>
      <c r="O55" s="4"/>
      <c r="P55" s="4"/>
      <c r="Q55" s="4"/>
      <c r="R55" s="4"/>
      <c r="S55" s="4"/>
      <c r="T55" s="4"/>
      <c r="U55" s="4"/>
      <c r="V55" s="4" t="s">
        <v>39</v>
      </c>
      <c r="W55" s="4"/>
      <c r="X55" s="4" t="s">
        <v>40</v>
      </c>
      <c r="Y55" s="5" t="s">
        <v>253</v>
      </c>
      <c r="Z55" s="4" t="s">
        <v>245</v>
      </c>
      <c r="AA55" s="4" t="s">
        <v>43</v>
      </c>
      <c r="AB55" s="4" t="s">
        <v>43</v>
      </c>
      <c r="AC55" s="4" t="s">
        <v>44</v>
      </c>
      <c r="AD55" s="5"/>
    </row>
    <row r="56" customFormat="false" ht="15" hidden="false" customHeight="false" outlineLevel="0" collapsed="false">
      <c r="A56" s="4" t="s">
        <v>254</v>
      </c>
      <c r="B56" s="4" t="s">
        <v>33</v>
      </c>
      <c r="C56" s="4" t="s">
        <v>34</v>
      </c>
      <c r="D56" s="4" t="s">
        <v>86</v>
      </c>
      <c r="E56" s="4" t="s">
        <v>36</v>
      </c>
      <c r="F56" s="4" t="s">
        <v>255</v>
      </c>
      <c r="G56" s="4" t="s">
        <v>256</v>
      </c>
      <c r="H56" s="4"/>
      <c r="I56" s="4"/>
      <c r="J56" s="4"/>
      <c r="K56" s="4"/>
      <c r="L56" s="4"/>
      <c r="M56" s="4"/>
      <c r="N56" s="4"/>
      <c r="O56" s="4"/>
      <c r="P56" s="4"/>
      <c r="Q56" s="4"/>
      <c r="R56" s="4"/>
      <c r="S56" s="4"/>
      <c r="T56" s="4"/>
      <c r="U56" s="4"/>
      <c r="V56" s="4" t="s">
        <v>39</v>
      </c>
      <c r="W56" s="4"/>
      <c r="X56" s="4" t="s">
        <v>40</v>
      </c>
      <c r="Y56" s="5" t="s">
        <v>257</v>
      </c>
      <c r="Z56" s="4" t="s">
        <v>245</v>
      </c>
      <c r="AA56" s="4" t="s">
        <v>43</v>
      </c>
      <c r="AB56" s="4" t="s">
        <v>43</v>
      </c>
      <c r="AC56" s="4" t="s">
        <v>44</v>
      </c>
      <c r="AD56" s="5"/>
    </row>
    <row r="57" customFormat="false" ht="23.85" hidden="false" customHeight="false" outlineLevel="0" collapsed="false">
      <c r="A57" s="4" t="s">
        <v>258</v>
      </c>
      <c r="B57" s="4" t="s">
        <v>33</v>
      </c>
      <c r="C57" s="4" t="s">
        <v>34</v>
      </c>
      <c r="D57" s="4" t="s">
        <v>86</v>
      </c>
      <c r="E57" s="4" t="s">
        <v>36</v>
      </c>
      <c r="F57" s="4" t="s">
        <v>259</v>
      </c>
      <c r="G57" s="4" t="s">
        <v>260</v>
      </c>
      <c r="H57" s="4"/>
      <c r="I57" s="4"/>
      <c r="J57" s="4"/>
      <c r="K57" s="4"/>
      <c r="L57" s="4"/>
      <c r="M57" s="4"/>
      <c r="N57" s="4"/>
      <c r="O57" s="4"/>
      <c r="P57" s="4"/>
      <c r="Q57" s="4"/>
      <c r="R57" s="4"/>
      <c r="S57" s="4"/>
      <c r="T57" s="4"/>
      <c r="U57" s="4"/>
      <c r="V57" s="4" t="s">
        <v>39</v>
      </c>
      <c r="W57" s="4"/>
      <c r="X57" s="4" t="s">
        <v>40</v>
      </c>
      <c r="Y57" s="5" t="s">
        <v>261</v>
      </c>
      <c r="Z57" s="4" t="s">
        <v>245</v>
      </c>
      <c r="AA57" s="4" t="s">
        <v>43</v>
      </c>
      <c r="AB57" s="4" t="s">
        <v>43</v>
      </c>
      <c r="AC57" s="4" t="s">
        <v>44</v>
      </c>
      <c r="AD57" s="5"/>
    </row>
    <row r="58" customFormat="false" ht="15" hidden="false" customHeight="false" outlineLevel="0" collapsed="false">
      <c r="A58" s="4" t="s">
        <v>262</v>
      </c>
      <c r="B58" s="4" t="s">
        <v>33</v>
      </c>
      <c r="C58" s="4" t="s">
        <v>34</v>
      </c>
      <c r="D58" s="4" t="s">
        <v>86</v>
      </c>
      <c r="E58" s="4" t="s">
        <v>36</v>
      </c>
      <c r="F58" s="4" t="s">
        <v>263</v>
      </c>
      <c r="G58" s="4" t="s">
        <v>264</v>
      </c>
      <c r="H58" s="4"/>
      <c r="I58" s="4"/>
      <c r="J58" s="4"/>
      <c r="K58" s="4"/>
      <c r="L58" s="4"/>
      <c r="M58" s="4"/>
      <c r="N58" s="4"/>
      <c r="O58" s="4"/>
      <c r="P58" s="4"/>
      <c r="Q58" s="4"/>
      <c r="R58" s="4"/>
      <c r="S58" s="4"/>
      <c r="T58" s="4"/>
      <c r="U58" s="4"/>
      <c r="V58" s="4" t="s">
        <v>39</v>
      </c>
      <c r="W58" s="4"/>
      <c r="X58" s="4" t="s">
        <v>40</v>
      </c>
      <c r="Y58" s="5" t="s">
        <v>265</v>
      </c>
      <c r="Z58" s="4" t="s">
        <v>245</v>
      </c>
      <c r="AA58" s="4" t="s">
        <v>43</v>
      </c>
      <c r="AB58" s="4" t="s">
        <v>43</v>
      </c>
      <c r="AC58" s="4" t="s">
        <v>44</v>
      </c>
      <c r="AD58" s="5"/>
    </row>
    <row r="59" customFormat="false" ht="15" hidden="false" customHeight="false" outlineLevel="0" collapsed="false">
      <c r="A59" s="4" t="s">
        <v>266</v>
      </c>
      <c r="B59" s="4" t="s">
        <v>33</v>
      </c>
      <c r="C59" s="4" t="s">
        <v>34</v>
      </c>
      <c r="D59" s="4" t="s">
        <v>86</v>
      </c>
      <c r="E59" s="4" t="s">
        <v>36</v>
      </c>
      <c r="F59" s="4" t="s">
        <v>267</v>
      </c>
      <c r="G59" s="4" t="s">
        <v>268</v>
      </c>
      <c r="H59" s="4"/>
      <c r="I59" s="4"/>
      <c r="J59" s="4"/>
      <c r="K59" s="4"/>
      <c r="L59" s="4"/>
      <c r="M59" s="4"/>
      <c r="N59" s="4"/>
      <c r="O59" s="4"/>
      <c r="P59" s="4"/>
      <c r="Q59" s="4"/>
      <c r="R59" s="4"/>
      <c r="S59" s="4"/>
      <c r="T59" s="4"/>
      <c r="U59" s="4"/>
      <c r="V59" s="4" t="s">
        <v>39</v>
      </c>
      <c r="W59" s="4"/>
      <c r="X59" s="4" t="s">
        <v>40</v>
      </c>
      <c r="Y59" s="5" t="s">
        <v>269</v>
      </c>
      <c r="Z59" s="4" t="s">
        <v>245</v>
      </c>
      <c r="AA59" s="4" t="s">
        <v>43</v>
      </c>
      <c r="AB59" s="4" t="s">
        <v>43</v>
      </c>
      <c r="AC59" s="4" t="s">
        <v>44</v>
      </c>
      <c r="AD59" s="5"/>
    </row>
    <row r="60" customFormat="false" ht="23.85" hidden="false" customHeight="false" outlineLevel="0" collapsed="false">
      <c r="A60" s="4" t="s">
        <v>270</v>
      </c>
      <c r="B60" s="4" t="s">
        <v>33</v>
      </c>
      <c r="C60" s="4" t="s">
        <v>34</v>
      </c>
      <c r="D60" s="4" t="s">
        <v>86</v>
      </c>
      <c r="E60" s="4" t="s">
        <v>36</v>
      </c>
      <c r="F60" s="4" t="s">
        <v>271</v>
      </c>
      <c r="G60" s="4" t="s">
        <v>272</v>
      </c>
      <c r="H60" s="4"/>
      <c r="I60" s="4"/>
      <c r="J60" s="4"/>
      <c r="K60" s="4"/>
      <c r="L60" s="4"/>
      <c r="M60" s="4"/>
      <c r="N60" s="4"/>
      <c r="O60" s="4"/>
      <c r="P60" s="4"/>
      <c r="Q60" s="4"/>
      <c r="R60" s="4"/>
      <c r="S60" s="4"/>
      <c r="T60" s="4"/>
      <c r="U60" s="4"/>
      <c r="V60" s="4" t="s">
        <v>39</v>
      </c>
      <c r="W60" s="4"/>
      <c r="X60" s="4" t="s">
        <v>40</v>
      </c>
      <c r="Y60" s="5" t="s">
        <v>273</v>
      </c>
      <c r="Z60" s="4" t="s">
        <v>245</v>
      </c>
      <c r="AA60" s="4" t="s">
        <v>43</v>
      </c>
      <c r="AB60" s="4" t="s">
        <v>43</v>
      </c>
      <c r="AC60" s="4" t="s">
        <v>44</v>
      </c>
      <c r="AD60" s="5"/>
    </row>
    <row r="61" customFormat="false" ht="23.85" hidden="false" customHeight="false" outlineLevel="0" collapsed="false">
      <c r="A61" s="4" t="s">
        <v>274</v>
      </c>
      <c r="B61" s="4" t="s">
        <v>33</v>
      </c>
      <c r="C61" s="4" t="s">
        <v>34</v>
      </c>
      <c r="D61" s="4" t="s">
        <v>86</v>
      </c>
      <c r="E61" s="4" t="s">
        <v>36</v>
      </c>
      <c r="F61" s="4" t="s">
        <v>275</v>
      </c>
      <c r="G61" s="4" t="s">
        <v>276</v>
      </c>
      <c r="H61" s="4"/>
      <c r="I61" s="4"/>
      <c r="J61" s="4"/>
      <c r="K61" s="4"/>
      <c r="L61" s="4"/>
      <c r="M61" s="4"/>
      <c r="N61" s="4"/>
      <c r="O61" s="4"/>
      <c r="P61" s="4"/>
      <c r="Q61" s="4"/>
      <c r="R61" s="4"/>
      <c r="S61" s="4"/>
      <c r="T61" s="4"/>
      <c r="U61" s="4"/>
      <c r="V61" s="4" t="s">
        <v>39</v>
      </c>
      <c r="W61" s="4"/>
      <c r="X61" s="4" t="s">
        <v>40</v>
      </c>
      <c r="Y61" s="5" t="s">
        <v>277</v>
      </c>
      <c r="Z61" s="4" t="s">
        <v>245</v>
      </c>
      <c r="AA61" s="4" t="s">
        <v>43</v>
      </c>
      <c r="AB61" s="4" t="s">
        <v>43</v>
      </c>
      <c r="AC61" s="4" t="s">
        <v>44</v>
      </c>
      <c r="AD61" s="5" t="s">
        <v>278</v>
      </c>
    </row>
    <row r="62" customFormat="false" ht="46.25" hidden="false" customHeight="false" outlineLevel="0" collapsed="false">
      <c r="A62" s="4" t="s">
        <v>279</v>
      </c>
      <c r="B62" s="4" t="s">
        <v>33</v>
      </c>
      <c r="C62" s="4" t="s">
        <v>34</v>
      </c>
      <c r="D62" s="4" t="s">
        <v>86</v>
      </c>
      <c r="E62" s="4" t="s">
        <v>36</v>
      </c>
      <c r="F62" s="4" t="s">
        <v>280</v>
      </c>
      <c r="G62" s="4" t="s">
        <v>281</v>
      </c>
      <c r="H62" s="4"/>
      <c r="I62" s="4"/>
      <c r="J62" s="4"/>
      <c r="K62" s="4"/>
      <c r="L62" s="4"/>
      <c r="M62" s="4"/>
      <c r="N62" s="4"/>
      <c r="O62" s="4"/>
      <c r="P62" s="4"/>
      <c r="Q62" s="4"/>
      <c r="R62" s="4"/>
      <c r="S62" s="4"/>
      <c r="T62" s="4"/>
      <c r="U62" s="4"/>
      <c r="V62" s="4" t="s">
        <v>39</v>
      </c>
      <c r="W62" s="4"/>
      <c r="X62" s="4" t="s">
        <v>40</v>
      </c>
      <c r="Y62" s="5" t="s">
        <v>282</v>
      </c>
      <c r="Z62" s="4" t="s">
        <v>245</v>
      </c>
      <c r="AA62" s="4" t="s">
        <v>43</v>
      </c>
      <c r="AB62" s="4" t="s">
        <v>43</v>
      </c>
      <c r="AC62" s="4" t="s">
        <v>44</v>
      </c>
      <c r="AD62" s="5" t="s">
        <v>283</v>
      </c>
    </row>
    <row r="63" customFormat="false" ht="23.85" hidden="false" customHeight="false" outlineLevel="0" collapsed="false">
      <c r="A63" s="4" t="s">
        <v>284</v>
      </c>
      <c r="B63" s="4" t="s">
        <v>33</v>
      </c>
      <c r="C63" s="4" t="s">
        <v>34</v>
      </c>
      <c r="D63" s="4" t="s">
        <v>86</v>
      </c>
      <c r="E63" s="4" t="s">
        <v>36</v>
      </c>
      <c r="F63" s="4" t="s">
        <v>285</v>
      </c>
      <c r="G63" s="4" t="s">
        <v>286</v>
      </c>
      <c r="H63" s="4"/>
      <c r="I63" s="4"/>
      <c r="J63" s="4"/>
      <c r="K63" s="4"/>
      <c r="L63" s="4"/>
      <c r="M63" s="4"/>
      <c r="N63" s="4"/>
      <c r="O63" s="4"/>
      <c r="P63" s="4"/>
      <c r="Q63" s="4"/>
      <c r="R63" s="4"/>
      <c r="S63" s="4"/>
      <c r="T63" s="4"/>
      <c r="U63" s="4"/>
      <c r="V63" s="4" t="s">
        <v>39</v>
      </c>
      <c r="W63" s="4"/>
      <c r="X63" s="4" t="s">
        <v>40</v>
      </c>
      <c r="Y63" s="5" t="s">
        <v>287</v>
      </c>
      <c r="Z63" s="4" t="s">
        <v>245</v>
      </c>
      <c r="AA63" s="4" t="s">
        <v>43</v>
      </c>
      <c r="AB63" s="4" t="s">
        <v>43</v>
      </c>
      <c r="AC63" s="4" t="s">
        <v>44</v>
      </c>
      <c r="AD63" s="5"/>
    </row>
    <row r="64" customFormat="false" ht="23.85" hidden="false" customHeight="false" outlineLevel="0" collapsed="false">
      <c r="A64" s="4" t="s">
        <v>288</v>
      </c>
      <c r="B64" s="4" t="s">
        <v>33</v>
      </c>
      <c r="C64" s="4" t="s">
        <v>34</v>
      </c>
      <c r="D64" s="4" t="s">
        <v>86</v>
      </c>
      <c r="E64" s="4" t="s">
        <v>36</v>
      </c>
      <c r="F64" s="4" t="s">
        <v>289</v>
      </c>
      <c r="G64" s="4" t="s">
        <v>290</v>
      </c>
      <c r="H64" s="4"/>
      <c r="I64" s="4"/>
      <c r="J64" s="4"/>
      <c r="K64" s="4"/>
      <c r="L64" s="4"/>
      <c r="M64" s="4"/>
      <c r="N64" s="4"/>
      <c r="O64" s="4"/>
      <c r="P64" s="4"/>
      <c r="Q64" s="4"/>
      <c r="R64" s="4"/>
      <c r="S64" s="4"/>
      <c r="T64" s="4"/>
      <c r="U64" s="4"/>
      <c r="V64" s="4" t="s">
        <v>39</v>
      </c>
      <c r="W64" s="4"/>
      <c r="X64" s="4" t="s">
        <v>40</v>
      </c>
      <c r="Y64" s="5" t="s">
        <v>291</v>
      </c>
      <c r="Z64" s="4" t="s">
        <v>245</v>
      </c>
      <c r="AA64" s="4" t="s">
        <v>43</v>
      </c>
      <c r="AB64" s="4" t="s">
        <v>43</v>
      </c>
      <c r="AC64" s="4" t="s">
        <v>44</v>
      </c>
      <c r="AD64" s="5"/>
    </row>
    <row r="65" customFormat="false" ht="23.85" hidden="false" customHeight="false" outlineLevel="0" collapsed="false">
      <c r="A65" s="4" t="s">
        <v>292</v>
      </c>
      <c r="B65" s="4" t="s">
        <v>33</v>
      </c>
      <c r="C65" s="4" t="s">
        <v>34</v>
      </c>
      <c r="D65" s="4" t="s">
        <v>86</v>
      </c>
      <c r="E65" s="4" t="s">
        <v>36</v>
      </c>
      <c r="F65" s="4" t="s">
        <v>293</v>
      </c>
      <c r="G65" s="4" t="s">
        <v>294</v>
      </c>
      <c r="H65" s="4"/>
      <c r="I65" s="4"/>
      <c r="J65" s="4"/>
      <c r="K65" s="4"/>
      <c r="L65" s="4"/>
      <c r="M65" s="4"/>
      <c r="N65" s="4"/>
      <c r="O65" s="4"/>
      <c r="P65" s="4"/>
      <c r="Q65" s="4"/>
      <c r="R65" s="4"/>
      <c r="S65" s="4"/>
      <c r="T65" s="4"/>
      <c r="U65" s="4"/>
      <c r="V65" s="4" t="s">
        <v>39</v>
      </c>
      <c r="W65" s="4"/>
      <c r="X65" s="4" t="s">
        <v>40</v>
      </c>
      <c r="Y65" s="5" t="s">
        <v>295</v>
      </c>
      <c r="Z65" s="4" t="s">
        <v>245</v>
      </c>
      <c r="AA65" s="4" t="s">
        <v>43</v>
      </c>
      <c r="AB65" s="4" t="s">
        <v>43</v>
      </c>
      <c r="AC65" s="4" t="s">
        <v>44</v>
      </c>
      <c r="AD65" s="5"/>
    </row>
    <row r="66" customFormat="false" ht="23.85" hidden="false" customHeight="false" outlineLevel="0" collapsed="false">
      <c r="A66" s="4" t="s">
        <v>296</v>
      </c>
      <c r="B66" s="4" t="s">
        <v>33</v>
      </c>
      <c r="C66" s="4" t="s">
        <v>34</v>
      </c>
      <c r="D66" s="4" t="s">
        <v>86</v>
      </c>
      <c r="E66" s="4" t="s">
        <v>36</v>
      </c>
      <c r="F66" s="4" t="s">
        <v>297</v>
      </c>
      <c r="G66" s="4" t="s">
        <v>298</v>
      </c>
      <c r="H66" s="4"/>
      <c r="I66" s="4"/>
      <c r="J66" s="4"/>
      <c r="K66" s="4"/>
      <c r="L66" s="4"/>
      <c r="M66" s="4"/>
      <c r="N66" s="4"/>
      <c r="O66" s="4"/>
      <c r="P66" s="4"/>
      <c r="Q66" s="4"/>
      <c r="R66" s="4"/>
      <c r="S66" s="4"/>
      <c r="T66" s="4"/>
      <c r="U66" s="4"/>
      <c r="V66" s="4" t="s">
        <v>39</v>
      </c>
      <c r="W66" s="4"/>
      <c r="X66" s="4" t="s">
        <v>40</v>
      </c>
      <c r="Y66" s="5" t="s">
        <v>299</v>
      </c>
      <c r="Z66" s="4" t="s">
        <v>245</v>
      </c>
      <c r="AA66" s="4" t="s">
        <v>43</v>
      </c>
      <c r="AB66" s="4" t="s">
        <v>43</v>
      </c>
      <c r="AC66" s="4" t="s">
        <v>44</v>
      </c>
      <c r="AD66" s="5"/>
    </row>
    <row r="67" customFormat="false" ht="23.85" hidden="false" customHeight="false" outlineLevel="0" collapsed="false">
      <c r="A67" s="4" t="s">
        <v>300</v>
      </c>
      <c r="B67" s="4" t="s">
        <v>33</v>
      </c>
      <c r="C67" s="4" t="s">
        <v>34</v>
      </c>
      <c r="D67" s="4" t="s">
        <v>86</v>
      </c>
      <c r="E67" s="4" t="s">
        <v>36</v>
      </c>
      <c r="F67" s="4" t="s">
        <v>301</v>
      </c>
      <c r="G67" s="4" t="s">
        <v>302</v>
      </c>
      <c r="H67" s="4"/>
      <c r="I67" s="4"/>
      <c r="J67" s="4"/>
      <c r="K67" s="4"/>
      <c r="L67" s="4"/>
      <c r="M67" s="4"/>
      <c r="N67" s="4"/>
      <c r="O67" s="4"/>
      <c r="P67" s="4"/>
      <c r="Q67" s="4"/>
      <c r="R67" s="4"/>
      <c r="S67" s="4"/>
      <c r="T67" s="4"/>
      <c r="U67" s="4"/>
      <c r="V67" s="4" t="s">
        <v>39</v>
      </c>
      <c r="W67" s="4"/>
      <c r="X67" s="4" t="s">
        <v>40</v>
      </c>
      <c r="Y67" s="5" t="s">
        <v>303</v>
      </c>
      <c r="Z67" s="4" t="s">
        <v>245</v>
      </c>
      <c r="AA67" s="4" t="s">
        <v>43</v>
      </c>
      <c r="AB67" s="4" t="s">
        <v>43</v>
      </c>
      <c r="AC67" s="4" t="s">
        <v>44</v>
      </c>
      <c r="AD67" s="5"/>
    </row>
    <row r="68" customFormat="false" ht="23.85" hidden="false" customHeight="false" outlineLevel="0" collapsed="false">
      <c r="A68" s="4" t="s">
        <v>304</v>
      </c>
      <c r="B68" s="4" t="s">
        <v>33</v>
      </c>
      <c r="C68" s="4" t="s">
        <v>34</v>
      </c>
      <c r="D68" s="4" t="s">
        <v>86</v>
      </c>
      <c r="E68" s="4" t="s">
        <v>36</v>
      </c>
      <c r="F68" s="4" t="s">
        <v>305</v>
      </c>
      <c r="G68" s="4" t="s">
        <v>306</v>
      </c>
      <c r="H68" s="4"/>
      <c r="I68" s="4"/>
      <c r="J68" s="4"/>
      <c r="K68" s="4"/>
      <c r="L68" s="4"/>
      <c r="M68" s="4"/>
      <c r="N68" s="4"/>
      <c r="O68" s="4"/>
      <c r="P68" s="4"/>
      <c r="Q68" s="4"/>
      <c r="R68" s="4"/>
      <c r="S68" s="4"/>
      <c r="T68" s="4"/>
      <c r="U68" s="4"/>
      <c r="V68" s="4" t="s">
        <v>39</v>
      </c>
      <c r="W68" s="4"/>
      <c r="X68" s="4" t="s">
        <v>40</v>
      </c>
      <c r="Y68" s="5" t="s">
        <v>307</v>
      </c>
      <c r="Z68" s="4" t="s">
        <v>245</v>
      </c>
      <c r="AA68" s="4" t="s">
        <v>43</v>
      </c>
      <c r="AB68" s="4" t="s">
        <v>43</v>
      </c>
      <c r="AC68" s="4" t="s">
        <v>44</v>
      </c>
      <c r="AD68" s="5"/>
    </row>
    <row r="69" customFormat="false" ht="23.85" hidden="false" customHeight="false" outlineLevel="0" collapsed="false">
      <c r="A69" s="4" t="s">
        <v>308</v>
      </c>
      <c r="B69" s="4" t="s">
        <v>33</v>
      </c>
      <c r="C69" s="4" t="s">
        <v>34</v>
      </c>
      <c r="D69" s="4" t="s">
        <v>86</v>
      </c>
      <c r="E69" s="4" t="s">
        <v>36</v>
      </c>
      <c r="F69" s="4" t="s">
        <v>309</v>
      </c>
      <c r="G69" s="4" t="s">
        <v>310</v>
      </c>
      <c r="H69" s="4"/>
      <c r="I69" s="4"/>
      <c r="J69" s="4"/>
      <c r="K69" s="4"/>
      <c r="L69" s="4"/>
      <c r="M69" s="4"/>
      <c r="N69" s="4"/>
      <c r="O69" s="4"/>
      <c r="P69" s="4"/>
      <c r="Q69" s="4"/>
      <c r="R69" s="4"/>
      <c r="S69" s="4"/>
      <c r="T69" s="4"/>
      <c r="U69" s="4"/>
      <c r="V69" s="4" t="s">
        <v>39</v>
      </c>
      <c r="W69" s="4"/>
      <c r="X69" s="4" t="s">
        <v>40</v>
      </c>
      <c r="Y69" s="5" t="s">
        <v>311</v>
      </c>
      <c r="Z69" s="4" t="s">
        <v>245</v>
      </c>
      <c r="AA69" s="4" t="s">
        <v>43</v>
      </c>
      <c r="AB69" s="4" t="s">
        <v>43</v>
      </c>
      <c r="AC69" s="4" t="s">
        <v>44</v>
      </c>
      <c r="AD69" s="5"/>
    </row>
    <row r="70" customFormat="false" ht="23.85" hidden="false" customHeight="false" outlineLevel="0" collapsed="false">
      <c r="A70" s="4" t="s">
        <v>312</v>
      </c>
      <c r="B70" s="4" t="s">
        <v>33</v>
      </c>
      <c r="C70" s="4" t="s">
        <v>34</v>
      </c>
      <c r="D70" s="4" t="s">
        <v>86</v>
      </c>
      <c r="E70" s="4" t="s">
        <v>36</v>
      </c>
      <c r="F70" s="4" t="s">
        <v>313</v>
      </c>
      <c r="G70" s="4" t="s">
        <v>314</v>
      </c>
      <c r="H70" s="4"/>
      <c r="I70" s="4"/>
      <c r="J70" s="4"/>
      <c r="K70" s="4"/>
      <c r="L70" s="4"/>
      <c r="M70" s="4"/>
      <c r="N70" s="4"/>
      <c r="O70" s="4"/>
      <c r="P70" s="4"/>
      <c r="Q70" s="4"/>
      <c r="R70" s="4"/>
      <c r="S70" s="4"/>
      <c r="T70" s="4"/>
      <c r="U70" s="4"/>
      <c r="V70" s="4" t="s">
        <v>39</v>
      </c>
      <c r="W70" s="4"/>
      <c r="X70" s="4" t="s">
        <v>40</v>
      </c>
      <c r="Y70" s="5" t="s">
        <v>315</v>
      </c>
      <c r="Z70" s="4" t="s">
        <v>245</v>
      </c>
      <c r="AA70" s="4" t="s">
        <v>43</v>
      </c>
      <c r="AB70" s="4" t="s">
        <v>43</v>
      </c>
      <c r="AC70" s="4" t="s">
        <v>44</v>
      </c>
      <c r="AD70" s="5"/>
    </row>
    <row r="71" customFormat="false" ht="23.85" hidden="false" customHeight="false" outlineLevel="0" collapsed="false">
      <c r="A71" s="4" t="s">
        <v>316</v>
      </c>
      <c r="B71" s="4" t="s">
        <v>33</v>
      </c>
      <c r="C71" s="4" t="s">
        <v>34</v>
      </c>
      <c r="D71" s="4" t="s">
        <v>86</v>
      </c>
      <c r="E71" s="4" t="s">
        <v>51</v>
      </c>
      <c r="F71" s="4" t="s">
        <v>317</v>
      </c>
      <c r="G71" s="4" t="s">
        <v>318</v>
      </c>
      <c r="H71" s="4"/>
      <c r="I71" s="4"/>
      <c r="J71" s="4"/>
      <c r="K71" s="4"/>
      <c r="L71" s="4"/>
      <c r="M71" s="4"/>
      <c r="N71" s="4"/>
      <c r="O71" s="4"/>
      <c r="P71" s="4"/>
      <c r="Q71" s="4"/>
      <c r="R71" s="4"/>
      <c r="S71" s="4"/>
      <c r="T71" s="4"/>
      <c r="U71" s="4"/>
      <c r="V71" s="4" t="s">
        <v>39</v>
      </c>
      <c r="W71" s="4"/>
      <c r="X71" s="4" t="s">
        <v>40</v>
      </c>
      <c r="Y71" s="5" t="s">
        <v>319</v>
      </c>
      <c r="Z71" s="4" t="s">
        <v>245</v>
      </c>
      <c r="AA71" s="4" t="s">
        <v>43</v>
      </c>
      <c r="AB71" s="4" t="s">
        <v>43</v>
      </c>
      <c r="AC71" s="4" t="s">
        <v>44</v>
      </c>
      <c r="AD71" s="5"/>
    </row>
    <row r="72" customFormat="false" ht="35.05" hidden="false" customHeight="false" outlineLevel="0" collapsed="false">
      <c r="A72" s="4" t="s">
        <v>320</v>
      </c>
      <c r="B72" s="4" t="s">
        <v>321</v>
      </c>
      <c r="C72" s="4" t="s">
        <v>34</v>
      </c>
      <c r="D72" s="4" t="s">
        <v>61</v>
      </c>
      <c r="E72" s="4" t="s">
        <v>36</v>
      </c>
      <c r="F72" s="4" t="s">
        <v>322</v>
      </c>
      <c r="G72" s="4" t="s">
        <v>323</v>
      </c>
      <c r="H72" s="4"/>
      <c r="I72" s="4"/>
      <c r="J72" s="4"/>
      <c r="K72" s="4"/>
      <c r="L72" s="4"/>
      <c r="M72" s="4"/>
      <c r="N72" s="4"/>
      <c r="O72" s="4"/>
      <c r="P72" s="4"/>
      <c r="Q72" s="4"/>
      <c r="R72" s="4"/>
      <c r="S72" s="4"/>
      <c r="T72" s="4"/>
      <c r="U72" s="4"/>
      <c r="V72" s="4" t="s">
        <v>39</v>
      </c>
      <c r="W72" s="4"/>
      <c r="X72" s="4" t="s">
        <v>40</v>
      </c>
      <c r="Y72" s="5" t="s">
        <v>324</v>
      </c>
      <c r="Z72" s="4" t="s">
        <v>245</v>
      </c>
      <c r="AA72" s="4" t="s">
        <v>43</v>
      </c>
      <c r="AB72" s="4" t="s">
        <v>43</v>
      </c>
      <c r="AC72" s="4" t="s">
        <v>44</v>
      </c>
      <c r="AD72" s="5" t="s">
        <v>325</v>
      </c>
    </row>
    <row r="73" customFormat="false" ht="91" hidden="false" customHeight="false" outlineLevel="0" collapsed="false">
      <c r="A73" s="4" t="s">
        <v>326</v>
      </c>
      <c r="B73" s="4" t="s">
        <v>327</v>
      </c>
      <c r="C73" s="4" t="s">
        <v>34</v>
      </c>
      <c r="D73" s="4" t="s">
        <v>35</v>
      </c>
      <c r="E73" s="6" t="s">
        <v>328</v>
      </c>
      <c r="F73" s="4" t="s">
        <v>329</v>
      </c>
      <c r="G73" s="4" t="s">
        <v>330</v>
      </c>
      <c r="H73" s="4"/>
      <c r="I73" s="4"/>
      <c r="J73" s="4"/>
      <c r="K73" s="4"/>
      <c r="L73" s="4"/>
      <c r="M73" s="4"/>
      <c r="N73" s="4"/>
      <c r="O73" s="4"/>
      <c r="P73" s="4"/>
      <c r="Q73" s="4"/>
      <c r="R73" s="4"/>
      <c r="S73" s="4"/>
      <c r="T73" s="4"/>
      <c r="U73" s="4"/>
      <c r="V73" s="4" t="s">
        <v>39</v>
      </c>
      <c r="W73" s="6" t="s">
        <v>331</v>
      </c>
      <c r="X73" s="4" t="s">
        <v>40</v>
      </c>
      <c r="Y73" s="5" t="s">
        <v>332</v>
      </c>
      <c r="Z73" s="4" t="s">
        <v>245</v>
      </c>
      <c r="AA73" s="4" t="s">
        <v>43</v>
      </c>
      <c r="AB73" s="4" t="s">
        <v>43</v>
      </c>
      <c r="AC73" s="4" t="s">
        <v>44</v>
      </c>
      <c r="AD73" s="5" t="s">
        <v>333</v>
      </c>
    </row>
    <row r="74" customFormat="false" ht="91" hidden="false" customHeight="false" outlineLevel="0" collapsed="false">
      <c r="A74" s="4" t="s">
        <v>334</v>
      </c>
      <c r="B74" s="4" t="s">
        <v>335</v>
      </c>
      <c r="C74" s="4" t="s">
        <v>34</v>
      </c>
      <c r="D74" s="4" t="s">
        <v>46</v>
      </c>
      <c r="E74" s="6" t="s">
        <v>328</v>
      </c>
      <c r="F74" s="4" t="s">
        <v>336</v>
      </c>
      <c r="G74" s="4" t="s">
        <v>337</v>
      </c>
      <c r="H74" s="4"/>
      <c r="I74" s="4"/>
      <c r="J74" s="4"/>
      <c r="K74" s="4"/>
      <c r="L74" s="4"/>
      <c r="M74" s="4"/>
      <c r="N74" s="4"/>
      <c r="O74" s="4"/>
      <c r="P74" s="4"/>
      <c r="Q74" s="4"/>
      <c r="R74" s="4"/>
      <c r="S74" s="4"/>
      <c r="T74" s="4"/>
      <c r="U74" s="4"/>
      <c r="V74" s="4" t="s">
        <v>39</v>
      </c>
      <c r="W74" s="6" t="s">
        <v>331</v>
      </c>
      <c r="X74" s="4" t="s">
        <v>40</v>
      </c>
      <c r="Y74" s="5" t="s">
        <v>338</v>
      </c>
      <c r="Z74" s="4" t="s">
        <v>245</v>
      </c>
      <c r="AA74" s="4" t="s">
        <v>43</v>
      </c>
      <c r="AB74" s="4" t="s">
        <v>43</v>
      </c>
      <c r="AC74" s="4" t="s">
        <v>44</v>
      </c>
      <c r="AD74" s="5" t="s">
        <v>339</v>
      </c>
    </row>
    <row r="75" customFormat="false" ht="91" hidden="false" customHeight="false" outlineLevel="0" collapsed="false">
      <c r="A75" s="4" t="s">
        <v>340</v>
      </c>
      <c r="B75" s="4" t="s">
        <v>335</v>
      </c>
      <c r="C75" s="4" t="s">
        <v>34</v>
      </c>
      <c r="D75" s="4" t="s">
        <v>46</v>
      </c>
      <c r="E75" s="6" t="s">
        <v>328</v>
      </c>
      <c r="F75" s="4" t="s">
        <v>341</v>
      </c>
      <c r="G75" s="4" t="s">
        <v>342</v>
      </c>
      <c r="H75" s="4"/>
      <c r="I75" s="4"/>
      <c r="J75" s="4"/>
      <c r="K75" s="4"/>
      <c r="L75" s="4"/>
      <c r="M75" s="4"/>
      <c r="N75" s="4"/>
      <c r="O75" s="4"/>
      <c r="P75" s="4"/>
      <c r="Q75" s="4"/>
      <c r="R75" s="4"/>
      <c r="S75" s="4"/>
      <c r="T75" s="4"/>
      <c r="U75" s="4"/>
      <c r="V75" s="4" t="s">
        <v>39</v>
      </c>
      <c r="W75" s="6" t="s">
        <v>331</v>
      </c>
      <c r="X75" s="4" t="s">
        <v>40</v>
      </c>
      <c r="Y75" s="5" t="s">
        <v>343</v>
      </c>
      <c r="Z75" s="4" t="s">
        <v>245</v>
      </c>
      <c r="AA75" s="4" t="s">
        <v>43</v>
      </c>
      <c r="AB75" s="4" t="s">
        <v>43</v>
      </c>
      <c r="AC75" s="4" t="s">
        <v>44</v>
      </c>
      <c r="AD75" s="5" t="s">
        <v>344</v>
      </c>
    </row>
    <row r="76" customFormat="false" ht="91" hidden="false" customHeight="false" outlineLevel="0" collapsed="false">
      <c r="A76" s="4" t="s">
        <v>345</v>
      </c>
      <c r="B76" s="4" t="s">
        <v>346</v>
      </c>
      <c r="C76" s="4" t="s">
        <v>34</v>
      </c>
      <c r="D76" s="4" t="s">
        <v>46</v>
      </c>
      <c r="E76" s="6" t="s">
        <v>347</v>
      </c>
      <c r="F76" s="4" t="s">
        <v>348</v>
      </c>
      <c r="G76" s="4" t="s">
        <v>349</v>
      </c>
      <c r="H76" s="4"/>
      <c r="I76" s="4"/>
      <c r="J76" s="4"/>
      <c r="K76" s="4"/>
      <c r="L76" s="4"/>
      <c r="M76" s="4"/>
      <c r="N76" s="4"/>
      <c r="O76" s="4"/>
      <c r="P76" s="4"/>
      <c r="Q76" s="4"/>
      <c r="R76" s="4"/>
      <c r="S76" s="4"/>
      <c r="T76" s="4"/>
      <c r="U76" s="4"/>
      <c r="V76" s="4" t="s">
        <v>39</v>
      </c>
      <c r="W76" s="6" t="s">
        <v>331</v>
      </c>
      <c r="X76" s="4" t="s">
        <v>40</v>
      </c>
      <c r="Y76" s="5" t="s">
        <v>350</v>
      </c>
      <c r="Z76" s="4" t="s">
        <v>245</v>
      </c>
      <c r="AA76" s="4" t="s">
        <v>43</v>
      </c>
      <c r="AB76" s="4" t="s">
        <v>43</v>
      </c>
      <c r="AC76" s="4" t="s">
        <v>44</v>
      </c>
      <c r="AD76" s="5" t="s">
        <v>351</v>
      </c>
    </row>
    <row r="77" customFormat="false" ht="23.85" hidden="false" customHeight="false" outlineLevel="0" collapsed="false">
      <c r="A77" s="4" t="s">
        <v>352</v>
      </c>
      <c r="B77" s="4" t="s">
        <v>353</v>
      </c>
      <c r="C77" s="4" t="s">
        <v>34</v>
      </c>
      <c r="D77" s="4" t="s">
        <v>129</v>
      </c>
      <c r="E77" s="6" t="s">
        <v>354</v>
      </c>
      <c r="F77" s="4" t="s">
        <v>355</v>
      </c>
      <c r="G77" s="4" t="s">
        <v>356</v>
      </c>
      <c r="H77" s="4"/>
      <c r="I77" s="4"/>
      <c r="J77" s="4"/>
      <c r="K77" s="4"/>
      <c r="L77" s="4"/>
      <c r="M77" s="4"/>
      <c r="N77" s="4"/>
      <c r="O77" s="4"/>
      <c r="P77" s="4"/>
      <c r="Q77" s="4"/>
      <c r="R77" s="4"/>
      <c r="S77" s="4"/>
      <c r="T77" s="4"/>
      <c r="U77" s="4"/>
      <c r="V77" s="4" t="s">
        <v>39</v>
      </c>
      <c r="W77" s="6" t="s">
        <v>331</v>
      </c>
      <c r="X77" s="4" t="s">
        <v>40</v>
      </c>
      <c r="Y77" s="5" t="s">
        <v>357</v>
      </c>
      <c r="Z77" s="4" t="s">
        <v>245</v>
      </c>
      <c r="AA77" s="4" t="s">
        <v>43</v>
      </c>
      <c r="AB77" s="4" t="s">
        <v>43</v>
      </c>
      <c r="AC77" s="4" t="s">
        <v>44</v>
      </c>
      <c r="AD77" s="5" t="s">
        <v>358</v>
      </c>
    </row>
    <row r="78" customFormat="false" ht="23.85" hidden="false" customHeight="false" outlineLevel="0" collapsed="false">
      <c r="A78" s="4" t="s">
        <v>359</v>
      </c>
      <c r="B78" s="4" t="s">
        <v>353</v>
      </c>
      <c r="C78" s="4" t="s">
        <v>34</v>
      </c>
      <c r="D78" s="4" t="s">
        <v>61</v>
      </c>
      <c r="E78" s="6" t="s">
        <v>354</v>
      </c>
      <c r="F78" s="4" t="s">
        <v>355</v>
      </c>
      <c r="G78" s="4" t="s">
        <v>356</v>
      </c>
      <c r="H78" s="4"/>
      <c r="I78" s="4"/>
      <c r="J78" s="4"/>
      <c r="K78" s="4"/>
      <c r="L78" s="4"/>
      <c r="M78" s="4"/>
      <c r="N78" s="4"/>
      <c r="O78" s="4"/>
      <c r="P78" s="4"/>
      <c r="Q78" s="4"/>
      <c r="R78" s="4"/>
      <c r="S78" s="4"/>
      <c r="T78" s="4"/>
      <c r="U78" s="4"/>
      <c r="V78" s="4" t="s">
        <v>39</v>
      </c>
      <c r="W78" s="6" t="s">
        <v>331</v>
      </c>
      <c r="X78" s="4" t="s">
        <v>40</v>
      </c>
      <c r="Y78" s="5" t="s">
        <v>360</v>
      </c>
      <c r="Z78" s="4" t="s">
        <v>245</v>
      </c>
      <c r="AA78" s="4" t="s">
        <v>43</v>
      </c>
      <c r="AB78" s="4" t="s">
        <v>43</v>
      </c>
      <c r="AC78" s="4" t="s">
        <v>44</v>
      </c>
      <c r="AD78" s="5" t="s">
        <v>358</v>
      </c>
    </row>
    <row r="79" customFormat="false" ht="23.85" hidden="false" customHeight="false" outlineLevel="0" collapsed="false">
      <c r="A79" s="4" t="s">
        <v>361</v>
      </c>
      <c r="B79" s="4" t="s">
        <v>353</v>
      </c>
      <c r="C79" s="4" t="s">
        <v>34</v>
      </c>
      <c r="D79" s="4" t="s">
        <v>61</v>
      </c>
      <c r="E79" s="6" t="s">
        <v>354</v>
      </c>
      <c r="F79" s="4" t="s">
        <v>355</v>
      </c>
      <c r="G79" s="4" t="s">
        <v>356</v>
      </c>
      <c r="H79" s="4"/>
      <c r="I79" s="4"/>
      <c r="J79" s="4"/>
      <c r="K79" s="4"/>
      <c r="L79" s="4"/>
      <c r="M79" s="4"/>
      <c r="N79" s="4"/>
      <c r="O79" s="4"/>
      <c r="P79" s="4"/>
      <c r="Q79" s="4"/>
      <c r="R79" s="4"/>
      <c r="S79" s="4"/>
      <c r="T79" s="4"/>
      <c r="U79" s="4"/>
      <c r="V79" s="4" t="s">
        <v>39</v>
      </c>
      <c r="W79" s="6" t="s">
        <v>331</v>
      </c>
      <c r="X79" s="4" t="s">
        <v>40</v>
      </c>
      <c r="Y79" s="5" t="s">
        <v>362</v>
      </c>
      <c r="Z79" s="4" t="s">
        <v>245</v>
      </c>
      <c r="AA79" s="4" t="s">
        <v>43</v>
      </c>
      <c r="AB79" s="4" t="s">
        <v>43</v>
      </c>
      <c r="AC79" s="4" t="s">
        <v>44</v>
      </c>
      <c r="AD79" s="5" t="s">
        <v>358</v>
      </c>
    </row>
    <row r="80" customFormat="false" ht="23.85" hidden="false" customHeight="false" outlineLevel="0" collapsed="false">
      <c r="A80" s="4" t="s">
        <v>363</v>
      </c>
      <c r="B80" s="4" t="s">
        <v>353</v>
      </c>
      <c r="C80" s="4" t="s">
        <v>34</v>
      </c>
      <c r="D80" s="4" t="s">
        <v>61</v>
      </c>
      <c r="E80" s="6" t="s">
        <v>354</v>
      </c>
      <c r="F80" s="4" t="s">
        <v>355</v>
      </c>
      <c r="G80" s="4" t="s">
        <v>356</v>
      </c>
      <c r="H80" s="4"/>
      <c r="I80" s="4"/>
      <c r="J80" s="4"/>
      <c r="K80" s="4"/>
      <c r="L80" s="4"/>
      <c r="M80" s="4"/>
      <c r="N80" s="4"/>
      <c r="O80" s="4"/>
      <c r="P80" s="4"/>
      <c r="Q80" s="4"/>
      <c r="R80" s="4"/>
      <c r="S80" s="4"/>
      <c r="T80" s="4"/>
      <c r="U80" s="4"/>
      <c r="V80" s="4" t="s">
        <v>39</v>
      </c>
      <c r="W80" s="6" t="s">
        <v>331</v>
      </c>
      <c r="X80" s="4" t="s">
        <v>40</v>
      </c>
      <c r="Y80" s="5" t="s">
        <v>364</v>
      </c>
      <c r="Z80" s="4" t="s">
        <v>245</v>
      </c>
      <c r="AA80" s="4" t="s">
        <v>43</v>
      </c>
      <c r="AB80" s="4" t="s">
        <v>43</v>
      </c>
      <c r="AC80" s="4" t="s">
        <v>44</v>
      </c>
      <c r="AD80" s="5" t="s">
        <v>358</v>
      </c>
    </row>
    <row r="81" customFormat="false" ht="23.85" hidden="false" customHeight="false" outlineLevel="0" collapsed="false">
      <c r="A81" s="4" t="s">
        <v>365</v>
      </c>
      <c r="B81" s="4" t="s">
        <v>353</v>
      </c>
      <c r="C81" s="4" t="s">
        <v>34</v>
      </c>
      <c r="D81" s="4" t="s">
        <v>61</v>
      </c>
      <c r="E81" s="6" t="s">
        <v>354</v>
      </c>
      <c r="F81" s="4" t="s">
        <v>355</v>
      </c>
      <c r="G81" s="4" t="s">
        <v>356</v>
      </c>
      <c r="H81" s="4"/>
      <c r="I81" s="4"/>
      <c r="J81" s="4"/>
      <c r="K81" s="4"/>
      <c r="L81" s="4"/>
      <c r="M81" s="4"/>
      <c r="N81" s="4"/>
      <c r="O81" s="4"/>
      <c r="P81" s="4"/>
      <c r="Q81" s="4"/>
      <c r="R81" s="4"/>
      <c r="S81" s="4"/>
      <c r="T81" s="4"/>
      <c r="U81" s="4"/>
      <c r="V81" s="4" t="s">
        <v>39</v>
      </c>
      <c r="W81" s="6" t="s">
        <v>331</v>
      </c>
      <c r="X81" s="4" t="s">
        <v>40</v>
      </c>
      <c r="Y81" s="5" t="s">
        <v>366</v>
      </c>
      <c r="Z81" s="4" t="s">
        <v>245</v>
      </c>
      <c r="AA81" s="4" t="s">
        <v>43</v>
      </c>
      <c r="AB81" s="4" t="s">
        <v>43</v>
      </c>
      <c r="AC81" s="4" t="s">
        <v>44</v>
      </c>
      <c r="AD81" s="5" t="s">
        <v>358</v>
      </c>
    </row>
    <row r="82" customFormat="false" ht="23.85" hidden="false" customHeight="false" outlineLevel="0" collapsed="false">
      <c r="A82" s="4" t="s">
        <v>367</v>
      </c>
      <c r="B82" s="4" t="s">
        <v>353</v>
      </c>
      <c r="C82" s="4" t="s">
        <v>34</v>
      </c>
      <c r="D82" s="4" t="s">
        <v>86</v>
      </c>
      <c r="E82" s="6" t="s">
        <v>354</v>
      </c>
      <c r="F82" s="4" t="s">
        <v>355</v>
      </c>
      <c r="G82" s="4" t="s">
        <v>356</v>
      </c>
      <c r="H82" s="4"/>
      <c r="I82" s="4"/>
      <c r="J82" s="4"/>
      <c r="K82" s="4"/>
      <c r="L82" s="4"/>
      <c r="M82" s="4"/>
      <c r="N82" s="4"/>
      <c r="O82" s="4"/>
      <c r="P82" s="4"/>
      <c r="Q82" s="4"/>
      <c r="R82" s="4"/>
      <c r="S82" s="4"/>
      <c r="T82" s="4"/>
      <c r="U82" s="4"/>
      <c r="V82" s="4" t="s">
        <v>39</v>
      </c>
      <c r="W82" s="6" t="s">
        <v>331</v>
      </c>
      <c r="X82" s="4" t="s">
        <v>40</v>
      </c>
      <c r="Y82" s="5" t="s">
        <v>368</v>
      </c>
      <c r="Z82" s="4" t="s">
        <v>245</v>
      </c>
      <c r="AA82" s="4" t="s">
        <v>43</v>
      </c>
      <c r="AB82" s="4" t="s">
        <v>43</v>
      </c>
      <c r="AC82" s="4" t="s">
        <v>44</v>
      </c>
      <c r="AD82" s="5" t="s">
        <v>358</v>
      </c>
    </row>
    <row r="83" customFormat="false" ht="23.85" hidden="false" customHeight="false" outlineLevel="0" collapsed="false">
      <c r="A83" s="4" t="s">
        <v>369</v>
      </c>
      <c r="B83" s="4" t="s">
        <v>353</v>
      </c>
      <c r="C83" s="4" t="s">
        <v>34</v>
      </c>
      <c r="D83" s="4" t="s">
        <v>86</v>
      </c>
      <c r="E83" s="6" t="s">
        <v>354</v>
      </c>
      <c r="F83" s="4" t="s">
        <v>355</v>
      </c>
      <c r="G83" s="4" t="s">
        <v>356</v>
      </c>
      <c r="H83" s="4"/>
      <c r="I83" s="4"/>
      <c r="J83" s="4"/>
      <c r="K83" s="4"/>
      <c r="L83" s="4"/>
      <c r="M83" s="4"/>
      <c r="N83" s="4"/>
      <c r="O83" s="4"/>
      <c r="P83" s="4"/>
      <c r="Q83" s="4"/>
      <c r="R83" s="4"/>
      <c r="S83" s="4"/>
      <c r="T83" s="4"/>
      <c r="U83" s="4"/>
      <c r="V83" s="4" t="s">
        <v>39</v>
      </c>
      <c r="W83" s="6" t="s">
        <v>331</v>
      </c>
      <c r="X83" s="4" t="s">
        <v>40</v>
      </c>
      <c r="Y83" s="5" t="s">
        <v>370</v>
      </c>
      <c r="Z83" s="4" t="s">
        <v>245</v>
      </c>
      <c r="AA83" s="4" t="s">
        <v>43</v>
      </c>
      <c r="AB83" s="4" t="s">
        <v>43</v>
      </c>
      <c r="AC83" s="4" t="s">
        <v>44</v>
      </c>
      <c r="AD83" s="5" t="s">
        <v>358</v>
      </c>
    </row>
    <row r="84" customFormat="false" ht="23.85" hidden="false" customHeight="false" outlineLevel="0" collapsed="false">
      <c r="A84" s="4" t="s">
        <v>371</v>
      </c>
      <c r="B84" s="4" t="s">
        <v>353</v>
      </c>
      <c r="C84" s="4" t="s">
        <v>34</v>
      </c>
      <c r="D84" s="4" t="s">
        <v>86</v>
      </c>
      <c r="E84" s="6" t="s">
        <v>354</v>
      </c>
      <c r="F84" s="4" t="s">
        <v>355</v>
      </c>
      <c r="G84" s="4" t="s">
        <v>356</v>
      </c>
      <c r="H84" s="4"/>
      <c r="I84" s="4"/>
      <c r="J84" s="4"/>
      <c r="K84" s="4"/>
      <c r="L84" s="4"/>
      <c r="M84" s="4"/>
      <c r="N84" s="4"/>
      <c r="O84" s="4"/>
      <c r="P84" s="4"/>
      <c r="Q84" s="4"/>
      <c r="R84" s="4"/>
      <c r="S84" s="4"/>
      <c r="T84" s="4"/>
      <c r="U84" s="4"/>
      <c r="V84" s="4" t="s">
        <v>39</v>
      </c>
      <c r="W84" s="6" t="s">
        <v>331</v>
      </c>
      <c r="X84" s="4" t="s">
        <v>40</v>
      </c>
      <c r="Y84" s="5" t="s">
        <v>372</v>
      </c>
      <c r="Z84" s="4" t="s">
        <v>245</v>
      </c>
      <c r="AA84" s="4" t="s">
        <v>43</v>
      </c>
      <c r="AB84" s="4" t="s">
        <v>43</v>
      </c>
      <c r="AC84" s="4" t="s">
        <v>44</v>
      </c>
      <c r="AD84" s="5" t="s">
        <v>358</v>
      </c>
    </row>
    <row r="85" customFormat="false" ht="23.85" hidden="false" customHeight="false" outlineLevel="0" collapsed="false">
      <c r="A85" s="4" t="s">
        <v>373</v>
      </c>
      <c r="B85" s="4" t="s">
        <v>353</v>
      </c>
      <c r="C85" s="4" t="s">
        <v>34</v>
      </c>
      <c r="D85" s="4" t="s">
        <v>86</v>
      </c>
      <c r="E85" s="6" t="s">
        <v>354</v>
      </c>
      <c r="F85" s="4" t="s">
        <v>355</v>
      </c>
      <c r="G85" s="4" t="s">
        <v>356</v>
      </c>
      <c r="H85" s="4"/>
      <c r="I85" s="4"/>
      <c r="J85" s="4"/>
      <c r="K85" s="4"/>
      <c r="L85" s="4"/>
      <c r="M85" s="4"/>
      <c r="N85" s="4"/>
      <c r="O85" s="4"/>
      <c r="P85" s="4"/>
      <c r="Q85" s="4"/>
      <c r="R85" s="4"/>
      <c r="S85" s="4"/>
      <c r="T85" s="4"/>
      <c r="U85" s="4"/>
      <c r="V85" s="4" t="s">
        <v>39</v>
      </c>
      <c r="W85" s="6" t="s">
        <v>331</v>
      </c>
      <c r="X85" s="4" t="s">
        <v>40</v>
      </c>
      <c r="Y85" s="5" t="s">
        <v>374</v>
      </c>
      <c r="Z85" s="4" t="s">
        <v>245</v>
      </c>
      <c r="AA85" s="4" t="s">
        <v>43</v>
      </c>
      <c r="AB85" s="4" t="s">
        <v>43</v>
      </c>
      <c r="AC85" s="4" t="s">
        <v>44</v>
      </c>
      <c r="AD85" s="5" t="s">
        <v>358</v>
      </c>
    </row>
    <row r="86" customFormat="false" ht="23.85" hidden="false" customHeight="false" outlineLevel="0" collapsed="false">
      <c r="A86" s="4" t="s">
        <v>375</v>
      </c>
      <c r="B86" s="4" t="s">
        <v>353</v>
      </c>
      <c r="C86" s="4" t="s">
        <v>34</v>
      </c>
      <c r="D86" s="4" t="s">
        <v>86</v>
      </c>
      <c r="E86" s="6" t="s">
        <v>354</v>
      </c>
      <c r="F86" s="4" t="s">
        <v>355</v>
      </c>
      <c r="G86" s="4" t="s">
        <v>356</v>
      </c>
      <c r="H86" s="4"/>
      <c r="I86" s="4"/>
      <c r="J86" s="4"/>
      <c r="K86" s="4"/>
      <c r="L86" s="4"/>
      <c r="M86" s="4"/>
      <c r="N86" s="4"/>
      <c r="O86" s="4"/>
      <c r="P86" s="4"/>
      <c r="Q86" s="4"/>
      <c r="R86" s="4"/>
      <c r="S86" s="4"/>
      <c r="T86" s="4"/>
      <c r="U86" s="4"/>
      <c r="V86" s="4" t="s">
        <v>39</v>
      </c>
      <c r="W86" s="6" t="s">
        <v>331</v>
      </c>
      <c r="X86" s="4" t="s">
        <v>40</v>
      </c>
      <c r="Y86" s="5" t="s">
        <v>376</v>
      </c>
      <c r="Z86" s="4" t="s">
        <v>245</v>
      </c>
      <c r="AA86" s="4" t="s">
        <v>43</v>
      </c>
      <c r="AB86" s="4" t="s">
        <v>43</v>
      </c>
      <c r="AC86" s="4" t="s">
        <v>44</v>
      </c>
      <c r="AD86" s="5" t="s">
        <v>358</v>
      </c>
    </row>
    <row r="87" customFormat="false" ht="23.85" hidden="false" customHeight="false" outlineLevel="0" collapsed="false">
      <c r="A87" s="4" t="s">
        <v>377</v>
      </c>
      <c r="B87" s="4" t="s">
        <v>353</v>
      </c>
      <c r="C87" s="4" t="s">
        <v>34</v>
      </c>
      <c r="D87" s="4" t="s">
        <v>86</v>
      </c>
      <c r="E87" s="6" t="s">
        <v>354</v>
      </c>
      <c r="F87" s="4" t="s">
        <v>355</v>
      </c>
      <c r="G87" s="4" t="s">
        <v>356</v>
      </c>
      <c r="H87" s="4"/>
      <c r="I87" s="4"/>
      <c r="J87" s="4"/>
      <c r="K87" s="4"/>
      <c r="L87" s="4"/>
      <c r="M87" s="4"/>
      <c r="N87" s="4"/>
      <c r="O87" s="4"/>
      <c r="P87" s="4"/>
      <c r="Q87" s="4"/>
      <c r="R87" s="4"/>
      <c r="S87" s="4"/>
      <c r="T87" s="4"/>
      <c r="U87" s="4"/>
      <c r="V87" s="4" t="s">
        <v>39</v>
      </c>
      <c r="W87" s="6" t="s">
        <v>331</v>
      </c>
      <c r="X87" s="4" t="s">
        <v>40</v>
      </c>
      <c r="Y87" s="5" t="s">
        <v>378</v>
      </c>
      <c r="Z87" s="4" t="s">
        <v>245</v>
      </c>
      <c r="AA87" s="4" t="s">
        <v>43</v>
      </c>
      <c r="AB87" s="4" t="s">
        <v>43</v>
      </c>
      <c r="AC87" s="4" t="s">
        <v>44</v>
      </c>
      <c r="AD87" s="5" t="s">
        <v>358</v>
      </c>
    </row>
    <row r="89" customFormat="false" ht="15" hidden="false" customHeight="false" outlineLevel="0" collapsed="false">
      <c r="A89" s="7" t="s">
        <v>379</v>
      </c>
    </row>
    <row r="90" customFormat="false" ht="15" hidden="false" customHeight="false" outlineLevel="0" collapsed="false">
      <c r="A90" s="8" t="s">
        <v>380</v>
      </c>
      <c r="B90" s="9" t="n">
        <f aca="false">COUNTA(A5:A87)</f>
        <v>83</v>
      </c>
    </row>
    <row r="91" customFormat="false" ht="15" hidden="false" customHeight="false" outlineLevel="0" collapsed="false">
      <c r="A91" s="8" t="s">
        <v>381</v>
      </c>
      <c r="B91" s="9" t="n">
        <f aca="false">COUNTIF(D5:D87,"3 stars")</f>
        <v>3</v>
      </c>
    </row>
    <row r="92" customFormat="false" ht="15" hidden="false" customHeight="false" outlineLevel="0" collapsed="false">
      <c r="A92" s="8" t="s">
        <v>382</v>
      </c>
      <c r="B92" s="9" t="n">
        <f aca="false">COUNTIF(D5:D87,"2 stars")</f>
        <v>5</v>
      </c>
    </row>
    <row r="93" customFormat="false" ht="15" hidden="false" customHeight="false" outlineLevel="0" collapsed="false">
      <c r="A93" s="8" t="s">
        <v>383</v>
      </c>
      <c r="B93" s="9" t="n">
        <f aca="false">COUNTIF(D5:D87,"1 star")</f>
        <v>14</v>
      </c>
    </row>
    <row r="94" customFormat="false" ht="15" hidden="false" customHeight="false" outlineLevel="0" collapsed="false">
      <c r="A94" s="8" t="s">
        <v>384</v>
      </c>
      <c r="B94" s="9" t="n">
        <f aca="false">COUNTIF(D5:D87,"Bib Gourmand")</f>
        <v>29</v>
      </c>
    </row>
    <row r="95" customFormat="false" ht="15" hidden="false" customHeight="false" outlineLevel="0" collapsed="false">
      <c r="A95" s="8" t="s">
        <v>385</v>
      </c>
      <c r="B95" s="9" t="n">
        <f aca="false">COUNTIF(D5:D87,"Selected")</f>
        <v>32</v>
      </c>
    </row>
    <row r="96" customFormat="false" ht="15" hidden="false" customHeight="false" outlineLevel="0" collapsed="false">
      <c r="A96" s="8" t="s">
        <v>386</v>
      </c>
      <c r="B96" s="9" t="n">
        <f aca="false">COUNTIF(W5:W87,"outside_boundary")</f>
        <v>15</v>
      </c>
    </row>
    <row r="97" customFormat="false" ht="15" hidden="false" customHeight="false" outlineLevel="0" collapsed="false">
      <c r="A97" s="8" t="s">
        <v>387</v>
      </c>
      <c r="B97" s="9" t="n">
        <f aca="false">COUNTIF(B5:B87,"Malmo")</f>
        <v>11</v>
      </c>
    </row>
    <row r="98" customFormat="false" ht="15" hidden="false" customHeight="false" outlineLevel="0" collapsed="false">
      <c r="A98" s="8" t="s">
        <v>388</v>
      </c>
      <c r="B98" s="9" t="n">
        <f aca="false">COUNTIF(E5:E87,"Københavns Kommune")</f>
        <v>62</v>
      </c>
    </row>
    <row r="99" customFormat="false" ht="15" hidden="false" customHeight="false" outlineLevel="0" collapsed="false">
      <c r="A99" s="8" t="s">
        <v>389</v>
      </c>
      <c r="B99" s="9" t="n">
        <f aca="false">COUNTIF(E5:E87,"Frederiksberg Kommune")</f>
        <v>6</v>
      </c>
    </row>
    <row r="100" customFormat="false" ht="15" hidden="false" customHeight="false" outlineLevel="0" collapsed="false">
      <c r="A100" s="8" t="s">
        <v>390</v>
      </c>
      <c r="B100" s="9" t="n">
        <f aca="false">COUNTA(G5:G87)-COUNTIF(G5:G87,"not resolved")</f>
        <v>72</v>
      </c>
    </row>
    <row r="101" customFormat="false" ht="15" hidden="false" customHeight="false" outlineLevel="0" collapsed="false">
      <c r="A101" s="8" t="s">
        <v>391</v>
      </c>
      <c r="B101" s="9" t="n">
        <f aca="false">COUNTIF(G5:G87,"not resolved")</f>
        <v>11</v>
      </c>
    </row>
    <row r="102" customFormat="false" ht="15" hidden="false" customHeight="false" outlineLevel="0" collapsed="false">
      <c r="A102" s="8" t="s">
        <v>392</v>
      </c>
      <c r="B102" s="9" t="n">
        <f aca="false">COUNTA(A5:A87)-COUNTIF(W5:W87,"outside_boundary")</f>
        <v>68</v>
      </c>
    </row>
    <row r="103" customFormat="false" ht="15" hidden="false" customHeight="false" outlineLevel="0" collapsed="false">
      <c r="A103" s="7" t="s">
        <v>393</v>
      </c>
      <c r="B103" s="7" t="str">
        <f aca="false">IF(B91+B92+B93+B94+B95=B90,"PASS","FAIL — the five tier counts do not sum to the enumerated total")</f>
        <v>PASS</v>
      </c>
    </row>
    <row r="104" customFormat="false" ht="15" hidden="false" customHeight="false" outlineLevel="0" collapsed="false">
      <c r="A104" s="7" t="s">
        <v>394</v>
      </c>
      <c r="B104" s="7" t="str">
        <f aca="false">IF(B102+B96=B90,"PASS","FAIL — pass and fail do not partition the candidate list")</f>
        <v>PASS</v>
      </c>
    </row>
    <row r="105" customFormat="false" ht="15" hidden="false" customHeight="false" outlineLevel="0" collapsed="false">
      <c r="A105" s="7" t="s">
        <v>395</v>
      </c>
      <c r="B105" s="7" t="str">
        <f aca="false">IF(B98+B99=B102,"PASS","FAIL — kommune breakdown does not equal the F1 pass count")</f>
        <v>PASS</v>
      </c>
    </row>
    <row r="106" customFormat="false" ht="15" hidden="false" customHeight="false" outlineLevel="0" collapsed="false">
      <c r="A106" s="7" t="s">
        <v>396</v>
      </c>
      <c r="B106" s="7" t="str">
        <f aca="false">IF(B100+B101=B90,"PASS","FAIL — F0 resolution states do not partition the candidate list")</f>
        <v>PASS</v>
      </c>
    </row>
    <row r="107" customFormat="false" ht="15" hidden="false" customHeight="false" outlineLevel="0" collapsed="false">
      <c r="A107" s="10" t="s">
        <v>397</v>
      </c>
    </row>
    <row r="108" customFormat="false" ht="15" hidden="false" customHeight="false" outlineLevel="0" collapsed="false">
      <c r="A108" s="11" t="s">
        <v>398</v>
      </c>
    </row>
    <row r="109" customFormat="false" ht="15" hidden="false" customHeight="false" outlineLevel="0" collapsed="false">
      <c r="A109" s="7" t="s">
        <v>399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0"/>
  </cols>
  <sheetData>
    <row r="1" customFormat="false" ht="16.15" hidden="false" customHeight="false" outlineLevel="0" collapsed="false">
      <c r="A1" s="1" t="s">
        <v>400</v>
      </c>
    </row>
    <row r="2" customFormat="false" ht="42" hidden="false" customHeight="true" outlineLevel="0" collapsed="false">
      <c r="A2" s="7" t="s">
        <v>401</v>
      </c>
      <c r="B2" s="12" t="s">
        <v>402</v>
      </c>
    </row>
    <row r="3" customFormat="false" ht="42" hidden="false" customHeight="true" outlineLevel="0" collapsed="false">
      <c r="A3" s="7" t="s">
        <v>403</v>
      </c>
      <c r="B3" s="12" t="s">
        <v>404</v>
      </c>
    </row>
    <row r="4" customFormat="false" ht="42" hidden="false" customHeight="true" outlineLevel="0" collapsed="false">
      <c r="A4" s="7" t="s">
        <v>405</v>
      </c>
      <c r="B4" s="12" t="s">
        <v>406</v>
      </c>
    </row>
    <row r="5" customFormat="false" ht="42" hidden="false" customHeight="true" outlineLevel="0" collapsed="false">
      <c r="A5" s="7" t="s">
        <v>407</v>
      </c>
      <c r="B5" s="12" t="s">
        <v>408</v>
      </c>
    </row>
    <row r="6" customFormat="false" ht="42" hidden="false" customHeight="true" outlineLevel="0" collapsed="false">
      <c r="A6" s="7" t="s">
        <v>409</v>
      </c>
      <c r="B6" s="12" t="s">
        <v>410</v>
      </c>
    </row>
    <row r="7" customFormat="false" ht="42" hidden="false" customHeight="true" outlineLevel="0" collapsed="false">
      <c r="A7" s="7" t="s">
        <v>411</v>
      </c>
      <c r="B7" s="12" t="s">
        <v>412</v>
      </c>
    </row>
    <row r="8" customFormat="false" ht="42" hidden="false" customHeight="true" outlineLevel="0" collapsed="false">
      <c r="A8" s="7" t="s">
        <v>413</v>
      </c>
      <c r="B8" s="12" t="s">
        <v>414</v>
      </c>
    </row>
    <row r="9" customFormat="false" ht="42" hidden="false" customHeight="true" outlineLevel="0" collapsed="false">
      <c r="A9" s="7" t="s">
        <v>415</v>
      </c>
      <c r="B9" s="12" t="s">
        <v>416</v>
      </c>
    </row>
    <row r="10" customFormat="false" ht="42" hidden="false" customHeight="true" outlineLevel="0" collapsed="false">
      <c r="A10" s="7" t="s">
        <v>417</v>
      </c>
      <c r="B10" s="12" t="s">
        <v>418</v>
      </c>
    </row>
    <row r="11" customFormat="false" ht="42" hidden="false" customHeight="true" outlineLevel="0" collapsed="false">
      <c r="A11" s="7" t="s">
        <v>23</v>
      </c>
      <c r="B11" s="12" t="s">
        <v>419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2026-09-28T08:29:33Z</dcterms:created>
  <dc:creator>openpyxl</dc:creator>
  <dc:description/>
  <dc:language>en-US</dc:language>
  <cp:lastModifiedBy/>
  <dcterms:modified xsi:type="dcterms:W3CDTF">2026-09-28T08:29:33Z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