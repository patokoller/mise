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ypotheses" sheetId="1" state="visible" r:id="rId3"/>
    <sheet name="Scoring clauses" sheetId="2" state="visible" r:id="rId4"/>
    <sheet name="Read me" sheetId="3" state="visible" r:id="rId5"/>
    <sheet name="Method predi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<sst xmlns="http://schemas.openxmlformats.org/spreadsheetml/2006/main" count="149" uniqueCount="119">
  <si>
    <t xml:space="preserve">ID</t>
  </si>
  <si>
    <t xml:space="preserve">Date recorded</t>
  </si>
  <si>
    <t xml:space="preserve">Basis</t>
  </si>
  <si>
    <t xml:space="preserve">Short name</t>
  </si>
  <si>
    <t xml:space="preserve">Prediction (as written)</t>
  </si>
  <si>
    <t xml:space="preserve">Why I believe it today</t>
  </si>
  <si>
    <t xml:space="preserve">What would prove me wrong</t>
  </si>
  <si>
    <t xml:space="preserve">Confidence it is TRUE</t>
  </si>
  <si>
    <t xml:space="preserve">Confidence it is RESOLVABLE as written</t>
  </si>
  <si>
    <t xml:space="preserve">Maps to</t>
  </si>
  <si>
    <t xml:space="preserve">Flag</t>
  </si>
  <si>
    <t xml:space="preserve">H1</t>
  </si>
  <si>
    <t xml:space="preserve">2026-07-29</t>
  </si>
  <si>
    <t xml:space="preserve">intuition</t>
  </si>
  <si>
    <t xml:space="preserve">Simplicity becomes a competitive advantage</t>
  </si>
  <si>
    <t xml:space="preserve">Among premium independent restaurants in Barcelona, Copenhagen, and London, menus will become more focused over the next 12 months, with restaurants offering fewer dishes, fewer highly complex preparations, and a greater emphasis on ingredient quality over technical display.</t>
  </si>
  <si>
    <t xml:space="preserve">I believe luxury dining is shifting from abundance and spectacle toward confidence, restraint, and clarity.</t>
  </si>
  <si>
    <t xml:space="preserve">If the average menu complexity remains stable or increases, or if the most successful new openings continue to emphasize larger menus, elaborate presentations, and highly technical cooking.</t>
  </si>
  <si>
    <t xml:space="preserve">Q1, Q2, Q3, Q4</t>
  </si>
  <si>
    <t xml:space="preserve">Three claims joined by 'and' — if one falls and one rises there is no verdict. Split into scoring clauses. 'Ingredient quality over technical display' is NOT measurable: plating complexity is on doc 20's permanently-out-of-reach list. The 12-month horizon runs from FIRST COLLECTION, not from today.</t>
  </si>
  <si>
    <t xml:space="preserve">H2</t>
  </si>
  <si>
    <t xml:space="preserve">Innovation spreads through operators before consumers notice</t>
  </si>
  <si>
    <t xml:space="preserve">New restaurant formats and operating practices will appear repeatedly across different cities before they receive broad recognition from major guides or mainstream hospitality media.</t>
  </si>
  <si>
    <t xml:space="preserve">I think chefs, restaurateurs, and investors learn primarily by observing one another, while consumers and the press recognize trends later.</t>
  </si>
  <si>
    <t xml:space="preserve">If guide recognition and media coverage consistently precede widespread adoption, or if most operational innovations only appear after they have already become publicly visible.</t>
  </si>
  <si>
    <t xml:space="preserve">Q9, Q12</t>
  </si>
  <si>
    <t xml:space="preserve">Closest to the project's core thesis, and the most nearly tautological — guides publish annually, so some lag is near-certain. Needs a LAG NUMBER to be scoreable. Confidence of 0.65 is arguably too low for the claim as written. Cannot resolve inside 12 months: Q9 is bounded by the archive-bias rule and Q12 needs the lag to have elapsed.</t>
  </si>
  <si>
    <t xml:space="preserve">H3</t>
  </si>
  <si>
    <t xml:space="preserve">Cities become more differentiated, not more alike</t>
  </si>
  <si>
    <t xml:space="preserve">Barcelona, Copenhagen, and London will become more differentiated over time in their restaurant ecosystems rather than converging toward a single global fine-dining model. Barcelona: tourism-driven concepts balanced with neighbourhood chef-led restaurants. Copenhagen: ingredient- and sustainability-driven innovation. London: fastest adopter of internationally scalable concepts.</t>
  </si>
  <si>
    <t xml:space="preserve">Globalization has made cuisines more accessible, but I suspect cities increasingly differentiate themselves through business models, customer expectations, design, and operating philosophy rather than through cuisine alone.</t>
  </si>
  <si>
    <t xml:space="preserve">If the measured characteristics of restaurants across the three cities become increasingly similar over time, with little meaningful differentiation in concepts, pricing, menu structure, or business models.</t>
  </si>
  <si>
    <t xml:space="preserve">Q5, Q8, Q15</t>
  </si>
  <si>
    <t xml:space="preserve">NOT resolvable in year one, and not in year two. Doc 20 Q5 is explicit: whether a spread is WIDENING needs several years and more than 20 venues per city. This is a second-derivative claim on a small sample. There is a resolvable near-term version — that the cities differ at baseline — logged separately as H3-a.</t>
  </si>
  <si>
    <t xml:space="preserve">Columns E, F and G are the operator's own words, recorded unedited. Column H is the operator's confidence. Column I is Claude's estimate. Column K is Claude's flag, not the operator's view.</t>
  </si>
  <si>
    <t xml:space="preserve">Clause</t>
  </si>
  <si>
    <t xml:space="preserve">From</t>
  </si>
  <si>
    <t xml:space="preserve">Scoring clause — a stranger could apply this without asking you</t>
  </si>
  <si>
    <t xml:space="preserve">Question</t>
  </si>
  <si>
    <t xml:space="preserve">Earliest honest resolution</t>
  </si>
  <si>
    <t xml:space="preserve">Confidence TRUE</t>
  </si>
  <si>
    <t xml:space="preserve">Confidence RESOLVABLE</t>
  </si>
  <si>
    <t xml:space="preserve">Status</t>
  </si>
  <si>
    <t xml:space="preserve">Resolved on</t>
  </si>
  <si>
    <t xml:space="preserve">Outcome</t>
  </si>
  <si>
    <t xml:space="preserve">Note</t>
  </si>
  <si>
    <t xml:space="preserve">H1-a</t>
  </si>
  <si>
    <t xml:space="preserve">Among venues observed in BOTH a baseline period and a comparison period 12+ months later, the median course count of the flagship tasting menu falls by at least 1 course.</t>
  </si>
  <si>
    <t xml:space="preserve">Q1</t>
  </si>
  <si>
    <t xml:space="preserve">~Q1 2028 (12 months after first paired observation)</t>
  </si>
  <si>
    <t xml:space="preserve">Open</t>
  </si>
  <si>
    <t xml:space="preserve">The cleanest test of H1. Requires paired venues, not all venues.</t>
  </si>
  <si>
    <t xml:space="preserve">H1-b</t>
  </si>
  <si>
    <t xml:space="preserve">Over the same paired venues and periods, the median number of a la carte dishes falls by at least 10%.</t>
  </si>
  <si>
    <t xml:space="preserve">Q2</t>
  </si>
  <si>
    <t xml:space="preserve">~Q1 2028</t>
  </si>
  <si>
    <t xml:space="preserve">Independent of H1-a; a venue can shorten one and not the other.</t>
  </si>
  <si>
    <t xml:space="preserve">H1-c</t>
  </si>
  <si>
    <t xml:space="preserve">THE RESTRAINT SIGNATURE: median course count falls WHILE median price per course rises in real terms, over the same paired venues and periods.</t>
  </si>
  <si>
    <t xml:space="preserve">Q4</t>
  </si>
  <si>
    <t xml:space="preserve">Doc 20 Q4 calls this the sharpest test of the restraint hypothesis. Shorter AND cheaper is a different story — cost pressure, not editing. Scoring H1 on length alone would credit the wrong mechanism.</t>
  </si>
  <si>
    <t xml:space="preserve">H1-d</t>
  </si>
  <si>
    <t xml:space="preserve">'Greater emphasis on ingredient quality over technical display.'</t>
  </si>
  <si>
    <t xml:space="preserve">—</t>
  </si>
  <si>
    <t xml:space="preserve">NOT SCOREABLE</t>
  </si>
  <si>
    <t xml:space="preserve">Void by design</t>
  </si>
  <si>
    <t xml:space="preserve">Void</t>
  </si>
  <si>
    <t xml:space="preserve">Plating complexity and table-side theatre are on doc 20's permanently-out-of-reach list. Recorded so the belief is preserved and the ledger does not silently drop it. Q3 (named ingredients per dish) is the nearest proxy and measures how restaurants WRITE as much as how they cook.</t>
  </si>
  <si>
    <t xml:space="preserve">H2-a</t>
  </si>
  <si>
    <t xml:space="preserve">For any practice reaching 5+ cohort venues across 2+ cities, the median lag from first cohort appearance to the first registered-publication article treating it as a trend is at least 6 months.</t>
  </si>
  <si>
    <t xml:space="preserve">~Q3 2029</t>
  </si>
  <si>
    <t xml:space="preserve">The 6-month threshold is a placeholder chosen before data — replace it with your own number, but do it NOW, not after seeing results. Bounded by the archive-bias rule: no first-appearance claim inside a city's first two coverage quarters.</t>
  </si>
  <si>
    <t xml:space="preserve">H2-b</t>
  </si>
  <si>
    <t xml:space="preserve">Cohort venues showing a practice in its first observed quarter gain a NEW guide listing within the following 12 months at a higher rate than the cohort base rate.</t>
  </si>
  <si>
    <t xml:space="preserve">Q12</t>
  </si>
  <si>
    <t xml:space="preserve">~Q4 2028</t>
  </si>
  <si>
    <t xml:space="preserve">This is why Route B exists (12/8 split, doc 21). If every cohort venue were already guide-listed there would be no variance and this clause would be unscoreable.</t>
  </si>
  <si>
    <t xml:space="preserve">H3-a</t>
  </si>
  <si>
    <t xml:space="preserve">At baseline, the three cities differ on at least 2 of {median course count, median price per course, median rotation rate} by more than the noise thresholds in doc 08.</t>
  </si>
  <si>
    <t xml:space="preserve">Q8, Q5, Q15</t>
  </si>
  <si>
    <t xml:space="preserve">~Q4 2027</t>
  </si>
  <si>
    <t xml:space="preserve">The resolvable near-term version of H3. Note doc 20 Q8: three cities that move identically is the genuine null result, and it is a finding either way.</t>
  </si>
  <si>
    <t xml:space="preserve">H3-b</t>
  </si>
  <si>
    <t xml:space="preserve">The measured distance between the three cities on those same measures is LARGER in year 3 than at baseline.</t>
  </si>
  <si>
    <t xml:space="preserve">Q5, Q8</t>
  </si>
  <si>
    <t xml:space="preserve">2030 at the earliest</t>
  </si>
  <si>
    <t xml:space="preserve">Open — long horizon</t>
  </si>
  <si>
    <t xml:space="preserve">Doc 20 Q5: whether a spread is widening needs several years and more than 20 venues per city; a bimodal distribution cannot be distinguished from a lumpy one at that N. Keep it open, do not attempt to score it early.</t>
  </si>
  <si>
    <t xml:space="preserve">Resolved</t>
  </si>
  <si>
    <t xml:space="preserve">Mean confidence TRUE, open clauses</t>
  </si>
  <si>
    <t xml:space="preserve">Total scoring clauses (denominator for the three lines above)</t>
  </si>
  <si>
    <t xml:space="preserve">CHECK — the status lines must sum to the total clause count</t>
  </si>
  <si>
    <t xml:space="preserve">REPAIR 2026-08-01: the status tally read Open 6 / Void 1 / Resolved 0 = 7 against 8 clauses. COUNTIF matched 'Open' exactly, so H3-b ('Open — long horizon') was uncounted — and the mean-confidence line below silently averaged 6 of 7 open clauses for the same reason. Both now use 'Open*'. Row 17 fails loudly if the lines ever stop summing to row 16. Third instance of the pattern in BUILD-STATUS known issues: a formula that recalculates green and asserts the wrong thing.</t>
  </si>
  <si>
    <t xml:space="preserve">Prediction ledger — intuition baseline</t>
  </si>
  <si>
    <t xml:space="preserve">Recorded 2026-07-29, before the venue frame was enumerated. Basis: intuition. This is the control group for Q20.</t>
  </si>
  <si>
    <t xml:space="preserve">WHY THE DATE MATTERS</t>
  </si>
  <si>
    <t xml:space="preserve">These three were written before any venue list existed. That ordering is the only thing that makes the hypothesis-blindness claim in doc 21 auditable, and it is the only reason Q20 can later compare intuition-only predictions against data-informed ones. Do not edit columns E, F or G on the Hypotheses sheet. They are a dated record, not a working draft. If your view changes, add a new row with a new date.</t>
  </si>
  <si>
    <t xml:space="preserve">WHAT YOU ASKED FOR AND WHAT I ADDED</t>
  </si>
  <si>
    <t xml:space="preserve">Confidence scores: already project policy. Doc 09 section 4 requires numerical confidence on every ledger entry, and makes the same calibration point — a forecaster who is right 100% of the time at stated 0.6 is badly calibrated, not brilliant. Your instinct matched an existing rule.</t>
  </si>
  <si>
    <t xml:space="preserve">Two confidence numbers, not one. 'How likely is this true' and 'how likely can I ever tell' are different questions, and the second is the one that will bite. H3 scores 0.55 on truth and 0.10 on resolvability — you may well be right and still never be able to prove it with this dataset.</t>
  </si>
  <si>
    <t xml:space="preserve">A second sheet. Doc 09 requires a resolution criterion a stranger could apply without asking you. All three hypotheses fail that test as written — they are beliefs, which is correct for this sheet, but a belief is not scoreable. The Scoring clauses sheet turns each one into predictions that are.</t>
  </si>
  <si>
    <t xml:space="preserve">THREE THINGS TO FIX BEFORE YOU FILE THIS</t>
  </si>
  <si>
    <t xml:space="preserve">1. The 12-month horizon in H1 runs from FIRST COLLECTION, not from today. Nothing has been collected. Paired-period comparison needs a baseline period and a comparison period 12+ months later, so the earliest honest resolution is roughly Q1 2028.</t>
  </si>
  <si>
    <t xml:space="preserve">2. H1 contains a claim that can never be scored. 'Ingredient quality over technical display' depends on plating complexity, which is on doc 20's permanently-out-of-reach list. Logged as H1-d, void by design, so it stays visible rather than quietly vanishing.</t>
  </si>
  <si>
    <t xml:space="preserve">3. H3 as written cannot resolve in year one or year two. Doc 20 Q5 says whether a spread is widening needs several years and more than 20 venues per city. Split into H3-a (cities differ at baseline — resolvable ~Q4 2027) and H3-b (the difference widens — 2030 at the earliest).</t>
  </si>
  <si>
    <t xml:space="preserve">ON CALIBRATION</t>
  </si>
  <si>
    <t xml:space="preserve">Three predictions cannot measure calibration. You need roughly ten or more before 'was I appropriately confident' means anything, and at doc 09's cadence of 2-4 per month you reach that around month 4. Treat these three as seed entries, not as the ledger.</t>
  </si>
  <si>
    <t xml:space="preserve">One number to set now rather than later: H2-a uses a 6-month lag threshold that I chose as a placeholder. Replace it with your own figure before collection starts. A threshold chosen after seeing the data is not a prediction.</t>
  </si>
  <si>
    <t xml:space="preserve">HOW TO USE THIS FILE</t>
  </si>
  <si>
    <t xml:space="preserve">Yellow cells on the Scoring clauses sheet are yours: Status, Resolved on, Outcome. Everything else is a dated record. Review all open clauses quarterly (doc 13). Outcome is one of Correct, Incorrect, Partial, Void. Nothing is ever quietly abandoned — doc 09 section 4.</t>
  </si>
  <si>
    <t xml:space="preserve">When the predictions table is deployed, these rows move into it with basis = 'intuition'. Until then this file is the ledger.</t>
  </si>
  <si>
    <t xml:space="preserve">Origin</t>
  </si>
  <si>
    <t xml:space="preserve">Why</t>
  </si>
  <si>
    <t xml:space="preserve">Scoring rule — a stranger could apply this without asking me</t>
  </si>
  <si>
    <t xml:space="preserve">Materiality floor</t>
  </si>
  <si>
    <t xml:space="preserve">Claude confidence TRUE</t>
  </si>
  <si>
    <t xml:space="preserve">Operator confidence TRUE</t>
  </si>
  <si>
    <t xml:space="preserve">This sheet holds predictions about the DATA-COLLECTION METHOD, not about restaurants. It is kept separate so it can never contaminate the three pre-registered hypotheses or their scoring counts.</t>
  </si>
  <si>
    <t xml:space="preserve">M1 WAS DELETED, NOT SCORED. Recorded 2026-08-01 (Claude-originated, D-042), declined by the operator the same day and removed unendorsed. It predicted a higher closure rate among the 64 A2-only venues than among the 68 holding a MICHELIN listing. It is NOT pre-registered and must never be scored, cited or reconstructed after F4 runs. Recorded here only so the deletion is visible; see D-043.</t>
  </si>
</sst>
</file>

<file path=xl/styles.xml><?xml version="1.0" encoding="utf-8"?>
<styleSheet xmlns="http://schemas.openxmlformats.org/spreadsheetml/2006/main">
  <numFmts count="3">
    <numFmt numFmtId="164" formatCode="General"/>
    <numFmt numFmtId="165" formatCode="0%"/>
    <numFmt numFmtId="166" formatCode="General"/>
  </numFmts>
  <fonts count="14">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i val="true"/>
      <sz val="10"/>
      <color rgb="FF808080"/>
      <name val="Arial"/>
      <family val="0"/>
      <charset val="1"/>
    </font>
    <font>
      <sz val="10"/>
      <color rgb="FFC00000"/>
      <name val="Arial"/>
      <family val="0"/>
      <charset val="1"/>
    </font>
    <font>
      <b val="true"/>
      <sz val="10"/>
      <name val="Arial"/>
      <family val="0"/>
      <charset val="1"/>
    </font>
    <font>
      <b val="true"/>
      <sz val="14"/>
      <name val="Arial"/>
      <family val="0"/>
      <charset val="1"/>
    </font>
    <font>
      <sz val="11"/>
      <name val="Cambria"/>
      <family val="0"/>
      <charset val="1"/>
    </font>
    <font>
      <i val="true"/>
      <sz val="11"/>
      <name val="Arial"/>
      <family val="0"/>
      <charset val="1"/>
    </font>
    <font>
      <i val="true"/>
      <sz val="10"/>
      <color rgb="FFB00000"/>
      <name val="Arial"/>
      <family val="0"/>
      <charset val="1"/>
    </font>
  </fonts>
  <fills count="4">
    <fill>
      <patternFill patternType="none"/>
    </fill>
    <fill>
      <patternFill patternType="gray125"/>
    </fill>
    <fill>
      <patternFill patternType="solid">
        <fgColor rgb="FF2F4858"/>
        <bgColor rgb="FF333399"/>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B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3"/>
    <col collapsed="false" customWidth="true" hidden="false" outlineLevel="0" max="3" min="3" style="1" width="10"/>
    <col collapsed="false" customWidth="true" hidden="false" outlineLevel="0" max="4" min="4" style="1" width="30"/>
    <col collapsed="false" customWidth="true" hidden="false" outlineLevel="0" max="5" min="5" style="1" width="58"/>
    <col collapsed="false" customWidth="true" hidden="false" outlineLevel="0" max="6" min="6" style="1" width="44"/>
    <col collapsed="false" customWidth="true" hidden="false" outlineLevel="0" max="7" min="7" style="1" width="50"/>
    <col collapsed="false" customWidth="true" hidden="false" outlineLevel="0" max="8" min="8" style="1" width="12"/>
    <col collapsed="false" customWidth="true" hidden="false" outlineLevel="0" max="9" min="9" style="1" width="14"/>
    <col collapsed="false" customWidth="true" hidden="false" outlineLevel="0" max="10" min="10" style="1" width="16"/>
    <col collapsed="false" customWidth="true" hidden="false" outlineLevel="0" max="11" min="11" style="1" width="52"/>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150" hidden="false" customHeight="true" outlineLevel="0" collapsed="false">
      <c r="A2" s="3" t="s">
        <v>11</v>
      </c>
      <c r="B2" s="3" t="s">
        <v>12</v>
      </c>
      <c r="C2" s="3" t="s">
        <v>13</v>
      </c>
      <c r="D2" s="3" t="s">
        <v>14</v>
      </c>
      <c r="E2" s="3" t="s">
        <v>15</v>
      </c>
      <c r="F2" s="3" t="s">
        <v>16</v>
      </c>
      <c r="G2" s="3" t="s">
        <v>17</v>
      </c>
      <c r="H2" s="4" t="n">
        <v>0.75</v>
      </c>
      <c r="I2" s="5" t="n">
        <v>0.3</v>
      </c>
      <c r="J2" s="3" t="s">
        <v>18</v>
      </c>
      <c r="K2" s="6" t="s">
        <v>19</v>
      </c>
    </row>
    <row r="3" customFormat="false" ht="150" hidden="false" customHeight="true" outlineLevel="0" collapsed="false">
      <c r="A3" s="3" t="s">
        <v>20</v>
      </c>
      <c r="B3" s="3" t="s">
        <v>12</v>
      </c>
      <c r="C3" s="3" t="s">
        <v>13</v>
      </c>
      <c r="D3" s="3" t="s">
        <v>21</v>
      </c>
      <c r="E3" s="3" t="s">
        <v>22</v>
      </c>
      <c r="F3" s="3" t="s">
        <v>23</v>
      </c>
      <c r="G3" s="3" t="s">
        <v>24</v>
      </c>
      <c r="H3" s="4" t="n">
        <v>0.65</v>
      </c>
      <c r="I3" s="5" t="n">
        <v>0.45</v>
      </c>
      <c r="J3" s="3" t="s">
        <v>25</v>
      </c>
      <c r="K3" s="6" t="s">
        <v>26</v>
      </c>
    </row>
    <row r="4" customFormat="false" ht="150" hidden="false" customHeight="true" outlineLevel="0" collapsed="false">
      <c r="A4" s="3" t="s">
        <v>27</v>
      </c>
      <c r="B4" s="3" t="s">
        <v>12</v>
      </c>
      <c r="C4" s="3" t="s">
        <v>13</v>
      </c>
      <c r="D4" s="3" t="s">
        <v>28</v>
      </c>
      <c r="E4" s="3" t="s">
        <v>29</v>
      </c>
      <c r="F4" s="3" t="s">
        <v>30</v>
      </c>
      <c r="G4" s="3" t="s">
        <v>31</v>
      </c>
      <c r="H4" s="4" t="n">
        <v>0.55</v>
      </c>
      <c r="I4" s="5" t="n">
        <v>0.1</v>
      </c>
      <c r="J4" s="3" t="s">
        <v>32</v>
      </c>
      <c r="K4" s="6" t="s">
        <v>33</v>
      </c>
    </row>
    <row r="6" customFormat="false" ht="15" hidden="false" customHeight="true" outlineLevel="0" collapsed="false">
      <c r="A6" s="7"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7"/>
    <col collapsed="false" customWidth="true" hidden="false" outlineLevel="0" max="3" min="3" style="1" width="74"/>
    <col collapsed="false" customWidth="true" hidden="false" outlineLevel="0" max="4" min="4" style="1" width="10"/>
    <col collapsed="false" customWidth="true" hidden="false" outlineLevel="0" max="5" min="5" style="1" width="22"/>
    <col collapsed="false" customWidth="true" hidden="false" outlineLevel="0" max="6" min="6" style="1" width="12"/>
    <col collapsed="false" customWidth="true" hidden="false" outlineLevel="0" max="7" min="7" style="1" width="13"/>
    <col collapsed="false" customWidth="true" hidden="false" outlineLevel="0" max="10" min="8" style="1" width="12"/>
    <col collapsed="false" customWidth="true" hidden="false" outlineLevel="0" max="11" min="11" style="1" width="44"/>
  </cols>
  <sheetData>
    <row r="1" customFormat="false" ht="23.25" hidden="false" customHeight="true" outlineLevel="0" collapsed="false">
      <c r="A1" s="2" t="s">
        <v>35</v>
      </c>
      <c r="B1" s="2" t="s">
        <v>36</v>
      </c>
      <c r="C1" s="2" t="s">
        <v>37</v>
      </c>
      <c r="D1" s="2" t="s">
        <v>38</v>
      </c>
      <c r="E1" s="2" t="s">
        <v>39</v>
      </c>
      <c r="F1" s="2" t="s">
        <v>40</v>
      </c>
      <c r="G1" s="2" t="s">
        <v>41</v>
      </c>
      <c r="H1" s="2" t="s">
        <v>42</v>
      </c>
      <c r="I1" s="2" t="s">
        <v>43</v>
      </c>
      <c r="J1" s="2" t="s">
        <v>44</v>
      </c>
      <c r="K1" s="2" t="s">
        <v>45</v>
      </c>
    </row>
    <row r="2" customFormat="false" ht="73.5" hidden="false" customHeight="true" outlineLevel="0" collapsed="false">
      <c r="A2" s="3" t="s">
        <v>46</v>
      </c>
      <c r="B2" s="3" t="s">
        <v>11</v>
      </c>
      <c r="C2" s="3" t="s">
        <v>47</v>
      </c>
      <c r="D2" s="3" t="s">
        <v>48</v>
      </c>
      <c r="E2" s="3" t="s">
        <v>49</v>
      </c>
      <c r="F2" s="8" t="n">
        <v>0.65</v>
      </c>
      <c r="G2" s="8" t="n">
        <v>0.85</v>
      </c>
      <c r="H2" s="9" t="s">
        <v>50</v>
      </c>
      <c r="I2" s="9"/>
      <c r="J2" s="9"/>
      <c r="K2" s="3" t="s">
        <v>51</v>
      </c>
    </row>
    <row r="3" customFormat="false" ht="73.5" hidden="false" customHeight="true" outlineLevel="0" collapsed="false">
      <c r="A3" s="3" t="s">
        <v>52</v>
      </c>
      <c r="B3" s="3" t="s">
        <v>11</v>
      </c>
      <c r="C3" s="3" t="s">
        <v>53</v>
      </c>
      <c r="D3" s="3" t="s">
        <v>54</v>
      </c>
      <c r="E3" s="3" t="s">
        <v>55</v>
      </c>
      <c r="F3" s="8" t="n">
        <v>0.55</v>
      </c>
      <c r="G3" s="8" t="n">
        <v>0.8</v>
      </c>
      <c r="H3" s="9" t="s">
        <v>50</v>
      </c>
      <c r="I3" s="9"/>
      <c r="J3" s="9"/>
      <c r="K3" s="3" t="s">
        <v>56</v>
      </c>
    </row>
    <row r="4" customFormat="false" ht="73.5" hidden="false" customHeight="true" outlineLevel="0" collapsed="false">
      <c r="A4" s="3" t="s">
        <v>57</v>
      </c>
      <c r="B4" s="3" t="s">
        <v>11</v>
      </c>
      <c r="C4" s="3" t="s">
        <v>58</v>
      </c>
      <c r="D4" s="3" t="s">
        <v>59</v>
      </c>
      <c r="E4" s="3" t="s">
        <v>55</v>
      </c>
      <c r="F4" s="8" t="n">
        <v>0.45</v>
      </c>
      <c r="G4" s="8" t="n">
        <v>0.8</v>
      </c>
      <c r="H4" s="9" t="s">
        <v>50</v>
      </c>
      <c r="I4" s="9"/>
      <c r="J4" s="9"/>
      <c r="K4" s="3" t="s">
        <v>60</v>
      </c>
    </row>
    <row r="5" customFormat="false" ht="73.5" hidden="false" customHeight="true" outlineLevel="0" collapsed="false">
      <c r="A5" s="3" t="s">
        <v>61</v>
      </c>
      <c r="B5" s="3" t="s">
        <v>11</v>
      </c>
      <c r="C5" s="3" t="s">
        <v>62</v>
      </c>
      <c r="D5" s="3" t="s">
        <v>63</v>
      </c>
      <c r="E5" s="3" t="s">
        <v>64</v>
      </c>
      <c r="F5" s="8" t="n">
        <v>0</v>
      </c>
      <c r="G5" s="8" t="n">
        <v>0</v>
      </c>
      <c r="H5" s="9" t="s">
        <v>65</v>
      </c>
      <c r="I5" s="9"/>
      <c r="J5" s="9" t="s">
        <v>66</v>
      </c>
      <c r="K5" s="3" t="s">
        <v>67</v>
      </c>
    </row>
    <row r="6" customFormat="false" ht="73.5" hidden="false" customHeight="true" outlineLevel="0" collapsed="false">
      <c r="A6" s="3" t="s">
        <v>68</v>
      </c>
      <c r="B6" s="3" t="s">
        <v>20</v>
      </c>
      <c r="C6" s="3" t="s">
        <v>69</v>
      </c>
      <c r="D6" s="3" t="s">
        <v>25</v>
      </c>
      <c r="E6" s="3" t="s">
        <v>70</v>
      </c>
      <c r="F6" s="8" t="n">
        <v>0.7</v>
      </c>
      <c r="G6" s="8" t="n">
        <v>0.4</v>
      </c>
      <c r="H6" s="9" t="s">
        <v>50</v>
      </c>
      <c r="I6" s="9"/>
      <c r="J6" s="9"/>
      <c r="K6" s="3" t="s">
        <v>71</v>
      </c>
    </row>
    <row r="7" customFormat="false" ht="73.5" hidden="false" customHeight="true" outlineLevel="0" collapsed="false">
      <c r="A7" s="3" t="s">
        <v>72</v>
      </c>
      <c r="B7" s="3" t="s">
        <v>20</v>
      </c>
      <c r="C7" s="3" t="s">
        <v>73</v>
      </c>
      <c r="D7" s="3" t="s">
        <v>74</v>
      </c>
      <c r="E7" s="3" t="s">
        <v>75</v>
      </c>
      <c r="F7" s="8" t="n">
        <v>0.6</v>
      </c>
      <c r="G7" s="8" t="n">
        <v>0.55</v>
      </c>
      <c r="H7" s="9" t="s">
        <v>50</v>
      </c>
      <c r="I7" s="9"/>
      <c r="J7" s="9"/>
      <c r="K7" s="3" t="s">
        <v>76</v>
      </c>
    </row>
    <row r="8" customFormat="false" ht="73.5" hidden="false" customHeight="true" outlineLevel="0" collapsed="false">
      <c r="A8" s="3" t="s">
        <v>77</v>
      </c>
      <c r="B8" s="3" t="s">
        <v>27</v>
      </c>
      <c r="C8" s="3" t="s">
        <v>78</v>
      </c>
      <c r="D8" s="3" t="s">
        <v>79</v>
      </c>
      <c r="E8" s="3" t="s">
        <v>80</v>
      </c>
      <c r="F8" s="8" t="n">
        <v>0.7</v>
      </c>
      <c r="G8" s="8" t="n">
        <v>0.65</v>
      </c>
      <c r="H8" s="9" t="s">
        <v>50</v>
      </c>
      <c r="I8" s="9"/>
      <c r="J8" s="9"/>
      <c r="K8" s="3" t="s">
        <v>81</v>
      </c>
    </row>
    <row r="9" customFormat="false" ht="73.5" hidden="false" customHeight="true" outlineLevel="0" collapsed="false">
      <c r="A9" s="3" t="s">
        <v>82</v>
      </c>
      <c r="B9" s="3" t="s">
        <v>27</v>
      </c>
      <c r="C9" s="3" t="s">
        <v>83</v>
      </c>
      <c r="D9" s="3" t="s">
        <v>84</v>
      </c>
      <c r="E9" s="3" t="s">
        <v>85</v>
      </c>
      <c r="F9" s="8" t="n">
        <v>0.55</v>
      </c>
      <c r="G9" s="8" t="n">
        <v>0.15</v>
      </c>
      <c r="H9" s="9" t="s">
        <v>86</v>
      </c>
      <c r="I9" s="9"/>
      <c r="J9" s="9"/>
      <c r="K9" s="3" t="s">
        <v>87</v>
      </c>
    </row>
    <row r="11" customFormat="false" ht="15" hidden="false" customHeight="true" outlineLevel="0" collapsed="false">
      <c r="B11" s="10" t="s">
        <v>50</v>
      </c>
      <c r="C11" s="11" t="n">
        <f aca="false">COUNTIF(H2:H9,"Open*")</f>
        <v>7</v>
      </c>
    </row>
    <row r="12" customFormat="false" ht="15" hidden="false" customHeight="true" outlineLevel="0" collapsed="false">
      <c r="B12" s="10" t="s">
        <v>65</v>
      </c>
      <c r="C12" s="11" t="n">
        <f aca="false">COUNTIF(H2:H9,"Void by design")</f>
        <v>1</v>
      </c>
    </row>
    <row r="13" customFormat="false" ht="15" hidden="false" customHeight="true" outlineLevel="0" collapsed="false">
      <c r="B13" s="10" t="s">
        <v>88</v>
      </c>
      <c r="C13" s="11" t="n">
        <f aca="false">COUNTIF(H2:H9,"Correct")+COUNTIF(H2:H9,"Incorrect")+COUNTIF(H2:H9,"Partial")</f>
        <v>0</v>
      </c>
    </row>
    <row r="15" customFormat="false" ht="15" hidden="false" customHeight="true" outlineLevel="0" collapsed="false">
      <c r="B15" s="10" t="s">
        <v>89</v>
      </c>
      <c r="C15" s="12" t="n">
        <f aca="false">IFERROR(SUMIF(H2:H9,"Open*",F2:F9)/COUNTIF(H2:H9,"Open*"),"")</f>
        <v>0.6</v>
      </c>
    </row>
    <row r="16" customFormat="false" ht="15" hidden="false" customHeight="true" outlineLevel="0" collapsed="false">
      <c r="B16" s="10" t="s">
        <v>90</v>
      </c>
      <c r="C16" s="11" t="n">
        <f aca="false">COUNTA(A2:A9)</f>
        <v>8</v>
      </c>
    </row>
    <row r="17" customFormat="false" ht="15" hidden="false" customHeight="true" outlineLevel="0" collapsed="false">
      <c r="B17" s="10" t="s">
        <v>91</v>
      </c>
      <c r="C17" s="11" t="n">
        <f aca="false">C11+C12+C13</f>
        <v>8</v>
      </c>
    </row>
    <row r="19" customFormat="false" ht="15" hidden="false" customHeight="true" outlineLevel="0" collapsed="false">
      <c r="B19" s="10"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18"/>
  </cols>
  <sheetData>
    <row r="1" customFormat="false" ht="17.25" hidden="false" customHeight="true" outlineLevel="0" collapsed="false">
      <c r="B1" s="13" t="s">
        <v>93</v>
      </c>
    </row>
    <row r="2" customFormat="false" ht="15" hidden="false" customHeight="true" outlineLevel="0" collapsed="false">
      <c r="B2" s="14" t="s">
        <v>94</v>
      </c>
    </row>
    <row r="3" customFormat="false" ht="15" hidden="false" customHeight="true" outlineLevel="0" collapsed="false">
      <c r="B3" s="15"/>
    </row>
    <row r="4" customFormat="false" ht="15" hidden="false" customHeight="true" outlineLevel="0" collapsed="false">
      <c r="B4" s="16" t="s">
        <v>95</v>
      </c>
    </row>
    <row r="5" customFormat="false" ht="61.5" hidden="false" customHeight="true" outlineLevel="0" collapsed="false">
      <c r="B5" s="17" t="s">
        <v>96</v>
      </c>
    </row>
    <row r="6" customFormat="false" ht="15" hidden="false" customHeight="true" outlineLevel="0" collapsed="false">
      <c r="B6" s="15"/>
    </row>
    <row r="7" customFormat="false" ht="15" hidden="false" customHeight="true" outlineLevel="0" collapsed="false">
      <c r="B7" s="16" t="s">
        <v>97</v>
      </c>
    </row>
    <row r="8" customFormat="false" ht="45.75" hidden="false" customHeight="true" outlineLevel="0" collapsed="false">
      <c r="B8" s="17" t="s">
        <v>98</v>
      </c>
    </row>
    <row r="9" customFormat="false" ht="45.75" hidden="false" customHeight="true" outlineLevel="0" collapsed="false">
      <c r="B9" s="17" t="s">
        <v>99</v>
      </c>
    </row>
    <row r="10" customFormat="false" ht="45.75" hidden="false" customHeight="true" outlineLevel="0" collapsed="false">
      <c r="B10" s="17" t="s">
        <v>100</v>
      </c>
    </row>
    <row r="11" customFormat="false" ht="15" hidden="false" customHeight="true" outlineLevel="0" collapsed="false">
      <c r="B11" s="15"/>
    </row>
    <row r="12" customFormat="false" ht="15" hidden="false" customHeight="true" outlineLevel="0" collapsed="false">
      <c r="B12" s="18" t="s">
        <v>101</v>
      </c>
    </row>
    <row r="13" customFormat="false" ht="45.75" hidden="false" customHeight="true" outlineLevel="0" collapsed="false">
      <c r="B13" s="17" t="s">
        <v>102</v>
      </c>
    </row>
    <row r="14" customFormat="false" ht="45.75" hidden="false" customHeight="true" outlineLevel="0" collapsed="false">
      <c r="B14" s="17" t="s">
        <v>103</v>
      </c>
    </row>
    <row r="15" customFormat="false" ht="45.75" hidden="false" customHeight="true" outlineLevel="0" collapsed="false">
      <c r="B15" s="17" t="s">
        <v>104</v>
      </c>
    </row>
    <row r="16" customFormat="false" ht="15" hidden="false" customHeight="true" outlineLevel="0" collapsed="false">
      <c r="B16" s="15"/>
    </row>
    <row r="17" customFormat="false" ht="15" hidden="false" customHeight="true" outlineLevel="0" collapsed="false">
      <c r="B17" s="16" t="s">
        <v>105</v>
      </c>
    </row>
    <row r="18" customFormat="false" ht="45.75" hidden="false" customHeight="true" outlineLevel="0" collapsed="false">
      <c r="B18" s="17" t="s">
        <v>106</v>
      </c>
    </row>
    <row r="19" customFormat="false" ht="45.75" hidden="false" customHeight="true" outlineLevel="0" collapsed="false">
      <c r="B19" s="17" t="s">
        <v>107</v>
      </c>
    </row>
    <row r="20" customFormat="false" ht="15" hidden="false" customHeight="true" outlineLevel="0" collapsed="false">
      <c r="B20" s="15"/>
    </row>
    <row r="21" customFormat="false" ht="15" hidden="false" customHeight="true" outlineLevel="0" collapsed="false">
      <c r="B21" s="16" t="s">
        <v>108</v>
      </c>
    </row>
    <row r="22" customFormat="false" ht="45.75" hidden="false" customHeight="true" outlineLevel="0" collapsed="false">
      <c r="B22" s="17" t="s">
        <v>109</v>
      </c>
    </row>
    <row r="23" customFormat="false" ht="30" hidden="false" customHeight="true" outlineLevel="0" collapsed="false">
      <c r="B23" s="14"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10"/>
    <col collapsed="false" customWidth="true" hidden="false" outlineLevel="0" max="4" min="3" style="1" width="20"/>
    <col collapsed="false" customWidth="true" hidden="false" outlineLevel="0" max="5" min="5" style="1" width="26"/>
    <col collapsed="false" customWidth="true" hidden="false" outlineLevel="0" max="7" min="6" style="1" width="46"/>
    <col collapsed="false" customWidth="true" hidden="false" outlineLevel="0" max="8" min="8" style="1" width="52"/>
    <col collapsed="false" customWidth="true" hidden="false" outlineLevel="0" max="9" min="9" style="1" width="40"/>
    <col collapsed="false" customWidth="true" hidden="false" outlineLevel="0" max="10" min="10" style="1" width="26"/>
    <col collapsed="false" customWidth="true" hidden="false" outlineLevel="0" max="12" min="11" style="1" width="13"/>
    <col collapsed="false" customWidth="true" hidden="false" outlineLevel="0" max="14" min="13" style="1" width="10"/>
    <col collapsed="false" customWidth="true" hidden="false" outlineLevel="0" max="15" min="15" style="1" width="44"/>
  </cols>
  <sheetData>
    <row r="1" customFormat="false" ht="34.5" hidden="false" customHeight="true" outlineLevel="0" collapsed="false">
      <c r="A1" s="2" t="s">
        <v>0</v>
      </c>
      <c r="B1" s="2" t="s">
        <v>1</v>
      </c>
      <c r="C1" s="2" t="s">
        <v>111</v>
      </c>
      <c r="D1" s="2" t="s">
        <v>2</v>
      </c>
      <c r="E1" s="2" t="s">
        <v>3</v>
      </c>
      <c r="F1" s="2" t="s">
        <v>4</v>
      </c>
      <c r="G1" s="2" t="s">
        <v>112</v>
      </c>
      <c r="H1" s="2" t="s">
        <v>113</v>
      </c>
      <c r="I1" s="2" t="s">
        <v>114</v>
      </c>
      <c r="J1" s="2" t="s">
        <v>39</v>
      </c>
      <c r="K1" s="2" t="s">
        <v>115</v>
      </c>
      <c r="L1" s="2" t="s">
        <v>116</v>
      </c>
      <c r="M1" s="2" t="s">
        <v>42</v>
      </c>
      <c r="N1" s="2" t="s">
        <v>44</v>
      </c>
      <c r="O1" s="2" t="s">
        <v>10</v>
      </c>
    </row>
    <row r="2" customFormat="false" ht="189.75" hidden="false" customHeight="true" outlineLevel="0" collapsed="false"/>
    <row r="3" customFormat="false" ht="15" hidden="false" customHeight="false" outlineLevel="0" collapsed="false">
      <c r="B3" s="19" t="s">
        <v>117</v>
      </c>
    </row>
    <row r="4" customFormat="false" ht="15" hidden="false" customHeight="true" outlineLevel="0" collapsed="false"/>
    <row r="5" customFormat="false" ht="60" hidden="false" customHeight="true" outlineLevel="0" collapsed="false">
      <c r="B5" s="20"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2026-07-29T16:18:07Z</dcterms:created>
  <dc:creator>openpyxl</dc:creator>
  <dc:description/>
  <dc:language>en-US</dc:language>
  <cp:lastModifiedBy/>
  <dcterms:modified xsi:type="dcterms:W3CDTF">2026-08-01T09:11:56Z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