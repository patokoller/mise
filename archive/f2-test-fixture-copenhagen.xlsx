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2_test_fixture" sheetId="1" state="visible" r:id="rId3"/>
    <sheet name="legend" sheetId="2" state="visible" r:id="rId4"/>
    <sheet name="proven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<sst xmlns="http://schemas.openxmlformats.org/spreadsheetml/2006/main" count="451" uniqueCount="184">
  <si>
    <t xml:space="preserve">F2 MECHANICAL-DETERMINATION TEST — NOT FRAME DATA</t>
  </si>
  <si>
    <t xml:space="preserve">Test fixture only. Source list is secondary press, not the MICHELIN Guide. These rows must never be merged into the frame. Purpose: measure whether F2 can be determined without a human, and how often it cannot.</t>
  </si>
  <si>
    <t xml:space="preserve">venue_name</t>
  </si>
  <si>
    <t xml:space="preserve">address</t>
  </si>
  <si>
    <t xml:space="preserve">kommune</t>
  </si>
  <si>
    <t xml:space="preserve">neighbourhood</t>
  </si>
  <si>
    <t xml:space="preserve">google_place_id</t>
  </si>
  <si>
    <t xml:space="preserve">route_a1</t>
  </si>
  <si>
    <t xml:space="preserve">route_a1_tier</t>
  </si>
  <si>
    <t xml:space="preserve">route_a2</t>
  </si>
  <si>
    <t xml:space="preserve">route_a2_tier</t>
  </si>
  <si>
    <t xml:space="preserve">route_b</t>
  </si>
  <si>
    <t xml:space="preserve">route_b_citations</t>
  </si>
  <si>
    <t xml:space="preserve">ownership_scale</t>
  </si>
  <si>
    <t xml:space="preserve">ownership_count</t>
  </si>
  <si>
    <t xml:space="preserve">ownership_source</t>
  </si>
  <si>
    <t xml:space="preserve">parent_group</t>
  </si>
  <si>
    <t xml:space="preserve">opened_on</t>
  </si>
  <si>
    <t xml:space="preserve">menu_publication_mode</t>
  </si>
  <si>
    <t xml:space="preserve">menu_source_url</t>
  </si>
  <si>
    <t xml:space="preserve">cheapest_full_meal_price</t>
  </si>
  <si>
    <t xml:space="preserve">currency</t>
  </si>
  <si>
    <t xml:space="preserve">in_cohort</t>
  </si>
  <si>
    <t xml:space="preserve">excluded_reason</t>
  </si>
  <si>
    <t xml:space="preserve">frame_date</t>
  </si>
  <si>
    <t xml:space="preserve">added_by</t>
  </si>
  <si>
    <t xml:space="preserve">retrieved_at</t>
  </si>
  <si>
    <t xml:space="preserve">notes</t>
  </si>
  <si>
    <t xml:space="preserve">akmē</t>
  </si>
  <si>
    <t xml:space="preserve">Sandkaj 39, 2150 København</t>
  </si>
  <si>
    <t xml:space="preserve">Københavns Kommune</t>
  </si>
  <si>
    <t xml:space="preserve">not recorded</t>
  </si>
  <si>
    <t xml:space="preserve">ChIJ97znST9TUkYRXKSLIQ5ezzc</t>
  </si>
  <si>
    <t xml:space="preserve">TRUE</t>
  </si>
  <si>
    <t xml:space="preserve">1 star</t>
  </si>
  <si>
    <t xml:space="preserve">untested</t>
  </si>
  <si>
    <t xml:space="preserve">price_only</t>
  </si>
  <si>
    <t xml:space="preserve">https://www.akme.dk/menu</t>
  </si>
  <si>
    <t xml:space="preserve">DKK</t>
  </si>
  <si>
    <t xml:space="preserve">FALSE</t>
  </si>
  <si>
    <t xml:space="preserve">2026-07-28</t>
  </si>
  <si>
    <t xml:space="preserve">claude</t>
  </si>
  <si>
    <t xml:space="preserve">2026-07-30</t>
  </si>
  <si>
    <t xml:space="preserve">RESOLVED BY OPERATOR 2026-07-30: page carried two price blocks, 1500 and 1300 DKK, with companion wine lists dated 29-07-2026 and 05-11-2025. Operator confirmed 1500 is live; 1300 is stale markup still in the DOM. No mechanical rule currently decides this case.</t>
  </si>
  <si>
    <t xml:space="preserve">Alchemist</t>
  </si>
  <si>
    <t xml:space="preserve">Refshalevej 173C, 1432 København</t>
  </si>
  <si>
    <t xml:space="preserve">ChIJGbFWVvBSUkYR5x0i6Z836Ao</t>
  </si>
  <si>
    <t xml:space="preserve">2 stars</t>
  </si>
  <si>
    <t xml:space="preserve">NOT RETESTED 2026-07-30. Mode carried from the calibration record in 21 §11.1 / D-027. Price never recorded there. Re-test before use.</t>
  </si>
  <si>
    <t xml:space="preserve">Alouette</t>
  </si>
  <si>
    <t xml:space="preserve">Kronprinsessegade 8, 1306 København</t>
  </si>
  <si>
    <t xml:space="preserve">ChIJcXrr90dTUkYRNJo6gjI26uk</t>
  </si>
  <si>
    <t xml:space="preserve">https://www.restaurantalouette.dk/menu</t>
  </si>
  <si>
    <t xml:space="preserve">Three hops: root is a splash page, then /home, then /menu. Menu page carries meta-ROBOTS: NOINDEX — posture question for doc 10.</t>
  </si>
  <si>
    <t xml:space="preserve">AOC</t>
  </si>
  <si>
    <t xml:space="preserve">Dronningens Tværgade 2, 1302 København</t>
  </si>
  <si>
    <t xml:space="preserve">ChIJM6fyhhhTUkYRy5Y4y78NEYU</t>
  </si>
  <si>
    <t xml:space="preserve">full</t>
  </si>
  <si>
    <t xml:space="preserve">https://restaurantaoc.dk/en/menu</t>
  </si>
  <si>
    <t xml:space="preserve">Two menus: AOC TASTING MENU 3600, THE MENU 2300. Dish lists run together on the page; the shorter menu repeats a subset of the longer one's dishes.</t>
  </si>
  <si>
    <t xml:space="preserve">Aure</t>
  </si>
  <si>
    <t xml:space="preserve">Krudtløbsvej 8, 1439 København</t>
  </si>
  <si>
    <t xml:space="preserve">ChIJV_8E0sJTUkYRRlJfxBk5d6k</t>
  </si>
  <si>
    <t xml:space="preserve">https://www.restaurantaure.dk/menu</t>
  </si>
  <si>
    <t xml:space="preserve">Clean case. Full dish list, single price, one hop from homepage.</t>
  </si>
  <si>
    <t xml:space="preserve">ESSE</t>
  </si>
  <si>
    <t xml:space="preserve">Trelleborggade 13a, 2100 København</t>
  </si>
  <si>
    <t xml:space="preserve">ChIJZ7egZwBTUkYRAQ5WQBRR2nM</t>
  </si>
  <si>
    <t xml:space="preserve">F2 not tested — outside the sample.</t>
  </si>
  <si>
    <t xml:space="preserve">formel B</t>
  </si>
  <si>
    <t xml:space="preserve">Vesterbrogade 182, 1800 Frederiksberg</t>
  </si>
  <si>
    <t xml:space="preserve">Frederiksberg Kommune</t>
  </si>
  <si>
    <t xml:space="preserve">ChIJtxaAuZlTUkYRt9S0ULtIiuA</t>
  </si>
  <si>
    <t xml:space="preserve">small_group</t>
  </si>
  <si>
    <t xml:space="preserve">formelbgroup.dk, read 2026-07-30</t>
  </si>
  <si>
    <t xml:space="preserve">formel B Group</t>
  </si>
  <si>
    <t xml:space="preserve">https://formelbgroup.dk/formelb/en/food/</t>
  </si>
  <si>
    <t xml:space="preserve">Three aggregators gave three different official domains (formelfamily.dk, formel-b.dk, formelbgroup.dk). Canonical site resolution is a step Places does not provide. Group operates 6 venues per its own footer.</t>
  </si>
  <si>
    <t xml:space="preserve">Geranium</t>
  </si>
  <si>
    <t xml:space="preserve">Per Henrik Lings Allé 4, 8., 2100 København</t>
  </si>
  <si>
    <t xml:space="preserve">ChIJAQshwflSUkYRF9f4wpDIt7U</t>
  </si>
  <si>
    <t xml:space="preserve">3 stars</t>
  </si>
  <si>
    <t xml:space="preserve">https://www.geranium.dk/en/menu</t>
  </si>
  <si>
    <t xml:space="preserve">Single-page site: /en/menu returns the homepage. Publishes menu name and price only. Page also still carries a COVID-era notice, so freshness cannot be inferred from the page.</t>
  </si>
  <si>
    <t xml:space="preserve">JATAK</t>
  </si>
  <si>
    <t xml:space="preserve">Rantzausgade 39, 2200 København</t>
  </si>
  <si>
    <t xml:space="preserve">ChIJu7H8HXxTUkYRuLKQbQU824w</t>
  </si>
  <si>
    <t xml:space="preserve">Kadeau</t>
  </si>
  <si>
    <t xml:space="preserve">Wildersgade 10B, 1408 København</t>
  </si>
  <si>
    <t xml:space="preserve">ChIJ1Y52MZlTUkYRuDl4FNhYh_U</t>
  </si>
  <si>
    <t xml:space="preserve">F2 not tested. Promoted to 3 stars in the 2026 edition.</t>
  </si>
  <si>
    <t xml:space="preserve">Koan</t>
  </si>
  <si>
    <t xml:space="preserve">Langeliniekaj 5, 2100 København</t>
  </si>
  <si>
    <t xml:space="preserve">ChIJoxbQhIBTUkYR15NWp69nCt0</t>
  </si>
  <si>
    <t xml:space="preserve">Kong Hans Kælder</t>
  </si>
  <si>
    <t xml:space="preserve">Vingårdstræde 6, 1070 København</t>
  </si>
  <si>
    <t xml:space="preserve">ChIJXdbkpBdTUkYRO6NpiMExk-w</t>
  </si>
  <si>
    <t xml:space="preserve">F2 not tested. Places returns this venue under the English name 'King Hans Cellar' — a name-matching case for F0.</t>
  </si>
  <si>
    <t xml:space="preserve">Lille Mølle</t>
  </si>
  <si>
    <t xml:space="preserve">Christianshavns Voldgade 52, 1424 København</t>
  </si>
  <si>
    <t xml:space="preserve">ChIJ29LGogVTUkYRcswK32qPzAY</t>
  </si>
  <si>
    <t xml:space="preserve">F2 not tested. New star in the 2026 edition.</t>
  </si>
  <si>
    <t xml:space="preserve">Marchal</t>
  </si>
  <si>
    <t xml:space="preserve">Hotel d'Angleterre, Kongens Nytorv 34, 1050 København</t>
  </si>
  <si>
    <t xml:space="preserve">ChIJtRm9KRhTUkYRhIT68DTO0r8</t>
  </si>
  <si>
    <t xml:space="preserve">F2 not tested. venue_type = hotel_restaurant; qualifies on A1 in its own right per F6 as amended (D-028).</t>
  </si>
  <si>
    <t xml:space="preserve">Sushi Anaba</t>
  </si>
  <si>
    <t xml:space="preserve">Mariehamngade 23, 2150 København</t>
  </si>
  <si>
    <t xml:space="preserve">ChIJc7_JfGlTUkYRbVK5FOovyOs</t>
  </si>
  <si>
    <t xml:space="preserve">Texture</t>
  </si>
  <si>
    <t xml:space="preserve">Sølvgade 86, 1307 København</t>
  </si>
  <si>
    <t xml:space="preserve">ChIJRxVkAFJTUkYRGaQE2cWK7fU</t>
  </si>
  <si>
    <t xml:space="preserve">F2 not tested. Michelin styles this venue lowercase as 'texture'.</t>
  </si>
  <si>
    <t xml:space="preserve">Udtryk</t>
  </si>
  <si>
    <t xml:space="preserve">Teglgårdstræde 8A, 1452 København</t>
  </si>
  <si>
    <t xml:space="preserve">ChIJn1w7Q6ZTUkYRHVs90CYuMPg</t>
  </si>
  <si>
    <t xml:space="preserve">Jordnær</t>
  </si>
  <si>
    <t xml:space="preserve">Gentoftegade 29, 2820 Gentofte</t>
  </si>
  <si>
    <t xml:space="preserve">Gentofte Kommune</t>
  </si>
  <si>
    <t xml:space="preserve">ChIJWxyiJPFNUkYRTp10-YnYcNg</t>
  </si>
  <si>
    <t xml:space="preserve">outside_boundary</t>
  </si>
  <si>
    <t xml:space="preserve">Fails F1. Gentofte Kommune. Michelin's own 2026 list files this under Denmark; Danish press treats it as Copenhagen.</t>
  </si>
  <si>
    <t xml:space="preserve">Parsley Salon</t>
  </si>
  <si>
    <t xml:space="preserve">Strandvejen 203, 2900 Hellerup</t>
  </si>
  <si>
    <t xml:space="preserve">ChIJhTbZQNNTUkYRrlURja_vdgM</t>
  </si>
  <si>
    <t xml:space="preserve">Fails F1. Gentofte Kommune. Michelin lists it as 'Hellerup'.</t>
  </si>
  <si>
    <t xml:space="preserve">The Samuel</t>
  </si>
  <si>
    <t xml:space="preserve">Hellerupvej 40, 2900 Hellerup</t>
  </si>
  <si>
    <t xml:space="preserve">ChIJ97nnHBpTUkYRtJSEQUisX6o</t>
  </si>
  <si>
    <t xml:space="preserve">Fails F1. Gentofte Kommune. Michelin lists it as 'Copenhagen'.</t>
  </si>
  <si>
    <t xml:space="preserve">Søllerød Kro</t>
  </si>
  <si>
    <t xml:space="preserve">Søllerødvej 35, 2840 Søllerød</t>
  </si>
  <si>
    <t xml:space="preserve">Rudersdal Kommune</t>
  </si>
  <si>
    <t xml:space="preserve">ChIJua9HeudOUkYRDn953dEtd1Y</t>
  </si>
  <si>
    <t xml:space="preserve">Fails F1. Rudersdal Kommune, ~15km north. Michelin's own list labels it 'Copenhagen'. The clearest demonstration that the guide's city label and the kommune boundary are different objects.</t>
  </si>
  <si>
    <t xml:space="preserve">COUNTS — every one states its denominator</t>
  </si>
  <si>
    <t xml:space="preserve">Candidates enumerated (starred tier, secondary source)</t>
  </si>
  <si>
    <t xml:space="preserve">Pass F1 (Københavns + Frederiksberg Kommune)</t>
  </si>
  <si>
    <t xml:space="preserve">Fail F1 — outside_boundary</t>
  </si>
  <si>
    <t xml:space="preserve">F2 tested this session, of those passing F1</t>
  </si>
  <si>
    <t xml:space="preserve">  of which  full</t>
  </si>
  <si>
    <t xml:space="preserve">  of which  price_only</t>
  </si>
  <si>
    <t xml:space="preserve">  of which  none</t>
  </si>
  <si>
    <t xml:space="preserve">F2 not tested</t>
  </si>
  <si>
    <t xml:space="preserve">Note: one of the price_only rows (Alchemist) was carried from the 21 §11.1 calibration record and not retested on 2026-07-30. Six venues were tested fresh this session.</t>
  </si>
  <si>
    <t xml:space="preserve">How to read this file</t>
  </si>
  <si>
    <t xml:space="preserve">What this is</t>
  </si>
  <si>
    <t xml:space="preserve">A test of whether filter F2 can be decided by machine. It is not the frame and not a cohort.</t>
  </si>
  <si>
    <t xml:space="preserve">Source of the venue list</t>
  </si>
  <si>
    <t xml:space="preserve">The 21 Copenhagen starred restaurants in MICHELIN Guide Nordic Countries 2026, as reported by Michelin's own ceremony article and two independent outlets. A complete tier was used so that no venue was hand-picked.</t>
  </si>
  <si>
    <t xml:space="preserve">Why a complete tier</t>
  </si>
  <si>
    <t xml:space="preserve">Choosing venues by hand would put the operator's intuition inside the measurement device, which is the failure doc 21 §1 exists to prevent.</t>
  </si>
  <si>
    <t xml:space="preserve">What is verified</t>
  </si>
  <si>
    <t xml:space="preserve">F0 (entity resolution), F1 (kommune boundary), address and google_place_id — all 21 rows, via Google Places.</t>
  </si>
  <si>
    <t xml:space="preserve">What is partly done</t>
  </si>
  <si>
    <t xml:space="preserve">F2 — six venues tested fresh, one carried from the calibration record, ten untested.</t>
  </si>
  <si>
    <t xml:space="preserve">What is absent</t>
  </si>
  <si>
    <t xml:space="preserve">Route A2, Route B, ownership for 20 of 21, opened_on, neighbourhood, cohort membership. Blank means not looked at, never 'no'.</t>
  </si>
  <si>
    <t xml:space="preserve">FALSE on every row. No cohort has been drawn and the seed has not been used.</t>
  </si>
  <si>
    <t xml:space="preserve">Prices</t>
  </si>
  <si>
    <t xml:space="preserve">Cheapest price at which one person can eat a complete meal as the venue structures it, per doc 21 §5. Recorded as a figure, never a band.</t>
  </si>
  <si>
    <t xml:space="preserve">Red text</t>
  </si>
  <si>
    <t xml:space="preserve">A row a human has to look at. These are the finding, not a defect in the file.</t>
  </si>
  <si>
    <t xml:space="preserve">Grey text</t>
  </si>
  <si>
    <t xml:space="preserve">Not tested.</t>
  </si>
  <si>
    <t xml:space="preserve">Provenance and dates</t>
  </si>
  <si>
    <t xml:space="preserve">2026-07-28 — frozen per doc 21 §2. Not changed by this test.</t>
  </si>
  <si>
    <t xml:space="preserve">2026-07-30 — every fact in this file was read on this date.</t>
  </si>
  <si>
    <t xml:space="preserve">observed_at</t>
  </si>
  <si>
    <t xml:space="preserve">Not recorded. Venue pages do not date their menus, which is itself a finding: observed_at cannot be derived from a menu page and must come from the retrieval event.</t>
  </si>
  <si>
    <t xml:space="preserve">Venue list source</t>
  </si>
  <si>
    <t xml:space="preserve">Secondary press reporting of MICHELIN Guide Nordic Countries 2026 (ceremony 1 June 2026, Tivoli Concert Hall). guide.michelin.com itself was unreachable — see 06 §4, reach = waf_blocked.</t>
  </si>
  <si>
    <t xml:space="preserve">Cross-check</t>
  </si>
  <si>
    <t xml:space="preserve">21 restaurants / 31 stars agrees across Michelin's own ceremony article, VisitCopenhagen and two independent outlets, and the star arithmetic reconciles (3x3 + 4x2 + 14x1 = 31).</t>
  </si>
  <si>
    <t xml:space="preserve">Operator verification</t>
  </si>
  <si>
    <t xml:space="preserve">2026-07-30, by eye, against the live pages: Geranium price_only CONFIRMED, AOC full CONFIRMED, akmē price 1500 DKK CONFIRMED. Two of two classifications the operator could check independently were correct; the third row was a case the rule could not decide and the operator decided it.</t>
  </si>
  <si>
    <t xml:space="preserve">Entity resolution</t>
  </si>
  <si>
    <t xml:space="preserve">Google Places, one query per venue, 2026-07-30. All 21 resolved to exactly one trading venue; no F0 unresolved rows.</t>
  </si>
  <si>
    <t xml:space="preserve">F1 method</t>
  </si>
  <si>
    <t xml:space="preserve">Postcode and kommune from the resolved Places address, against doc 21 §3 F1 (Københavns Kommune + Frederiksberg Kommune).</t>
  </si>
  <si>
    <t xml:space="preserve">F4</t>
  </si>
  <si>
    <t xml:space="preserve">NOT tested. Google Places did not return business_status in these responses, so 'trading at the frame date' rests on the venue having published hours. This needs a separate source.</t>
  </si>
  <si>
    <t xml:space="preserve">What Places did not give</t>
  </si>
  <si>
    <t xml:space="preserve">No website URL and no business_status. Every venue site had to be found by a separate search, which is an extra step and an extra failure point in any automated enumerator.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</si>
</sst>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3" min="12" style="0" width="15"/>
    <col collapsed="false" customWidth="true" hidden="false" outlineLevel="0" max="14" min="14" style="0" width="22"/>
    <col collapsed="false" customWidth="true" hidden="false" outlineLevel="0" max="15" min="15" style="0" width="16"/>
    <col collapsed="false" customWidth="true" hidden="false" outlineLevel="0" max="16" min="16" style="0" width="11"/>
    <col collapsed="false" customWidth="true" hidden="false" outlineLevel="0" max="17" min="17" style="0" width="21"/>
    <col collapsed="false" customWidth="true" hidden="false" outlineLevel="0" max="18" min="18" style="0" width="46"/>
    <col collapsed="false" customWidth="true" hidden="false" outlineLevel="0" max="19" min="19" style="0" width="23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18"/>
    <col collapsed="false" customWidth="true" hidden="false" outlineLevel="0" max="23" min="23" style="0" width="11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</row>
    <row r="5" customFormat="false" ht="46.25" hidden="false" customHeight="false" outlineLevel="0" collapsed="false">
      <c r="A5" s="4" t="s">
        <v>28</v>
      </c>
      <c r="B5" s="5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/>
      <c r="J5" s="4" t="s">
        <v>35</v>
      </c>
      <c r="K5" s="4"/>
      <c r="L5" s="4" t="s">
        <v>35</v>
      </c>
      <c r="M5" s="4"/>
      <c r="N5" s="4"/>
      <c r="O5" s="4"/>
      <c r="P5" s="4" t="s">
        <v>31</v>
      </c>
      <c r="Q5" s="4" t="s">
        <v>36</v>
      </c>
      <c r="R5" s="5" t="s">
        <v>37</v>
      </c>
      <c r="S5" s="4" t="n">
        <v>1500</v>
      </c>
      <c r="T5" s="4" t="s">
        <v>38</v>
      </c>
      <c r="U5" s="4" t="s">
        <v>39</v>
      </c>
      <c r="V5" s="4"/>
      <c r="W5" s="4" t="s">
        <v>40</v>
      </c>
      <c r="X5" s="4" t="s">
        <v>41</v>
      </c>
      <c r="Y5" s="4" t="s">
        <v>42</v>
      </c>
      <c r="Z5" s="5" t="s">
        <v>43</v>
      </c>
    </row>
    <row r="6" customFormat="false" ht="23.85" hidden="false" customHeight="false" outlineLevel="0" collapsed="false">
      <c r="A6" s="4" t="s">
        <v>44</v>
      </c>
      <c r="B6" s="5" t="s">
        <v>45</v>
      </c>
      <c r="C6" s="4" t="s">
        <v>30</v>
      </c>
      <c r="D6" s="4" t="s">
        <v>31</v>
      </c>
      <c r="E6" s="4" t="s">
        <v>46</v>
      </c>
      <c r="F6" s="4" t="s">
        <v>33</v>
      </c>
      <c r="G6" s="4" t="s">
        <v>47</v>
      </c>
      <c r="H6" s="4" t="s">
        <v>35</v>
      </c>
      <c r="I6" s="4"/>
      <c r="J6" s="4" t="s">
        <v>35</v>
      </c>
      <c r="K6" s="4"/>
      <c r="L6" s="4" t="s">
        <v>35</v>
      </c>
      <c r="M6" s="4"/>
      <c r="N6" s="4"/>
      <c r="O6" s="4"/>
      <c r="P6" s="4" t="s">
        <v>31</v>
      </c>
      <c r="Q6" s="4" t="s">
        <v>36</v>
      </c>
      <c r="R6" s="5"/>
      <c r="S6" s="4"/>
      <c r="T6" s="4"/>
      <c r="U6" s="4" t="s">
        <v>39</v>
      </c>
      <c r="V6" s="4"/>
      <c r="W6" s="4" t="s">
        <v>40</v>
      </c>
      <c r="X6" s="4" t="s">
        <v>41</v>
      </c>
      <c r="Y6" s="4" t="s">
        <v>42</v>
      </c>
      <c r="Z6" s="6" t="s">
        <v>48</v>
      </c>
    </row>
    <row r="7" customFormat="false" ht="23.85" hidden="false" customHeight="false" outlineLevel="0" collapsed="false">
      <c r="A7" s="4" t="s">
        <v>49</v>
      </c>
      <c r="B7" s="5" t="s">
        <v>50</v>
      </c>
      <c r="C7" s="4" t="s">
        <v>30</v>
      </c>
      <c r="D7" s="4" t="s">
        <v>31</v>
      </c>
      <c r="E7" s="4" t="s">
        <v>51</v>
      </c>
      <c r="F7" s="4" t="s">
        <v>33</v>
      </c>
      <c r="G7" s="4" t="s">
        <v>34</v>
      </c>
      <c r="H7" s="4" t="s">
        <v>35</v>
      </c>
      <c r="I7" s="4"/>
      <c r="J7" s="4" t="s">
        <v>35</v>
      </c>
      <c r="K7" s="4"/>
      <c r="L7" s="4" t="s">
        <v>35</v>
      </c>
      <c r="M7" s="4"/>
      <c r="N7" s="4"/>
      <c r="O7" s="4"/>
      <c r="P7" s="4" t="s">
        <v>31</v>
      </c>
      <c r="Q7" s="4" t="s">
        <v>36</v>
      </c>
      <c r="R7" s="5" t="s">
        <v>52</v>
      </c>
      <c r="S7" s="4" t="n">
        <v>2195</v>
      </c>
      <c r="T7" s="4" t="s">
        <v>38</v>
      </c>
      <c r="U7" s="4" t="s">
        <v>39</v>
      </c>
      <c r="V7" s="4"/>
      <c r="W7" s="4" t="s">
        <v>40</v>
      </c>
      <c r="X7" s="4" t="s">
        <v>41</v>
      </c>
      <c r="Y7" s="4" t="s">
        <v>42</v>
      </c>
      <c r="Z7" s="5" t="s">
        <v>53</v>
      </c>
    </row>
    <row r="8" customFormat="false" ht="35.05" hidden="false" customHeight="false" outlineLevel="0" collapsed="false">
      <c r="A8" s="4" t="s">
        <v>54</v>
      </c>
      <c r="B8" s="5" t="s">
        <v>55</v>
      </c>
      <c r="C8" s="4" t="s">
        <v>30</v>
      </c>
      <c r="D8" s="4" t="s">
        <v>31</v>
      </c>
      <c r="E8" s="4" t="s">
        <v>56</v>
      </c>
      <c r="F8" s="4" t="s">
        <v>33</v>
      </c>
      <c r="G8" s="4" t="s">
        <v>47</v>
      </c>
      <c r="H8" s="4" t="s">
        <v>35</v>
      </c>
      <c r="I8" s="4"/>
      <c r="J8" s="4" t="s">
        <v>35</v>
      </c>
      <c r="K8" s="4"/>
      <c r="L8" s="4" t="s">
        <v>35</v>
      </c>
      <c r="M8" s="4"/>
      <c r="N8" s="4"/>
      <c r="O8" s="4"/>
      <c r="P8" s="4" t="s">
        <v>31</v>
      </c>
      <c r="Q8" s="4" t="s">
        <v>57</v>
      </c>
      <c r="R8" s="5" t="s">
        <v>58</v>
      </c>
      <c r="S8" s="4" t="n">
        <v>2300</v>
      </c>
      <c r="T8" s="4" t="s">
        <v>38</v>
      </c>
      <c r="U8" s="4" t="s">
        <v>39</v>
      </c>
      <c r="V8" s="4"/>
      <c r="W8" s="4" t="s">
        <v>40</v>
      </c>
      <c r="X8" s="4" t="s">
        <v>41</v>
      </c>
      <c r="Y8" s="4" t="s">
        <v>42</v>
      </c>
      <c r="Z8" s="5" t="s">
        <v>59</v>
      </c>
    </row>
    <row r="9" customFormat="false" ht="15" hidden="false" customHeight="false" outlineLevel="0" collapsed="false">
      <c r="A9" s="4" t="s">
        <v>60</v>
      </c>
      <c r="B9" s="5" t="s">
        <v>61</v>
      </c>
      <c r="C9" s="4" t="s">
        <v>30</v>
      </c>
      <c r="D9" s="4" t="s">
        <v>31</v>
      </c>
      <c r="E9" s="4" t="s">
        <v>62</v>
      </c>
      <c r="F9" s="4" t="s">
        <v>33</v>
      </c>
      <c r="G9" s="4" t="s">
        <v>34</v>
      </c>
      <c r="H9" s="4" t="s">
        <v>35</v>
      </c>
      <c r="I9" s="4"/>
      <c r="J9" s="4" t="s">
        <v>35</v>
      </c>
      <c r="K9" s="4"/>
      <c r="L9" s="4" t="s">
        <v>35</v>
      </c>
      <c r="M9" s="4"/>
      <c r="N9" s="4"/>
      <c r="O9" s="4"/>
      <c r="P9" s="4" t="s">
        <v>31</v>
      </c>
      <c r="Q9" s="4" t="s">
        <v>57</v>
      </c>
      <c r="R9" s="5" t="s">
        <v>63</v>
      </c>
      <c r="S9" s="4" t="n">
        <v>1850</v>
      </c>
      <c r="T9" s="4" t="s">
        <v>38</v>
      </c>
      <c r="U9" s="4" t="s">
        <v>39</v>
      </c>
      <c r="V9" s="4"/>
      <c r="W9" s="4" t="s">
        <v>40</v>
      </c>
      <c r="X9" s="4" t="s">
        <v>41</v>
      </c>
      <c r="Y9" s="4" t="s">
        <v>42</v>
      </c>
      <c r="Z9" s="5" t="s">
        <v>64</v>
      </c>
    </row>
    <row r="10" customFormat="false" ht="15" hidden="false" customHeight="false" outlineLevel="0" collapsed="false">
      <c r="A10" s="4" t="s">
        <v>65</v>
      </c>
      <c r="B10" s="5" t="s">
        <v>66</v>
      </c>
      <c r="C10" s="4" t="s">
        <v>30</v>
      </c>
      <c r="D10" s="4" t="s">
        <v>31</v>
      </c>
      <c r="E10" s="4" t="s">
        <v>67</v>
      </c>
      <c r="F10" s="4" t="s">
        <v>33</v>
      </c>
      <c r="G10" s="4" t="s">
        <v>34</v>
      </c>
      <c r="H10" s="4" t="s">
        <v>35</v>
      </c>
      <c r="I10" s="4"/>
      <c r="J10" s="4" t="s">
        <v>35</v>
      </c>
      <c r="K10" s="4"/>
      <c r="L10" s="4" t="s">
        <v>35</v>
      </c>
      <c r="M10" s="4"/>
      <c r="N10" s="4"/>
      <c r="O10" s="4"/>
      <c r="P10" s="4" t="s">
        <v>31</v>
      </c>
      <c r="Q10" s="7" t="s">
        <v>35</v>
      </c>
      <c r="R10" s="5"/>
      <c r="S10" s="4"/>
      <c r="T10" s="4"/>
      <c r="U10" s="4" t="s">
        <v>39</v>
      </c>
      <c r="V10" s="4"/>
      <c r="W10" s="4" t="s">
        <v>40</v>
      </c>
      <c r="X10" s="4" t="s">
        <v>41</v>
      </c>
      <c r="Y10" s="4" t="s">
        <v>42</v>
      </c>
      <c r="Z10" s="5" t="s">
        <v>68</v>
      </c>
    </row>
    <row r="11" customFormat="false" ht="35.05" hidden="false" customHeight="false" outlineLevel="0" collapsed="false">
      <c r="A11" s="4" t="s">
        <v>69</v>
      </c>
      <c r="B11" s="5" t="s">
        <v>70</v>
      </c>
      <c r="C11" s="4" t="s">
        <v>71</v>
      </c>
      <c r="D11" s="4" t="s">
        <v>31</v>
      </c>
      <c r="E11" s="4" t="s">
        <v>72</v>
      </c>
      <c r="F11" s="4" t="s">
        <v>33</v>
      </c>
      <c r="G11" s="4" t="s">
        <v>34</v>
      </c>
      <c r="H11" s="4" t="s">
        <v>35</v>
      </c>
      <c r="I11" s="4"/>
      <c r="J11" s="4" t="s">
        <v>35</v>
      </c>
      <c r="K11" s="4"/>
      <c r="L11" s="4" t="s">
        <v>73</v>
      </c>
      <c r="M11" s="4" t="n">
        <v>6</v>
      </c>
      <c r="N11" s="4" t="s">
        <v>74</v>
      </c>
      <c r="O11" s="4" t="s">
        <v>75</v>
      </c>
      <c r="P11" s="4" t="s">
        <v>31</v>
      </c>
      <c r="Q11" s="4" t="s">
        <v>57</v>
      </c>
      <c r="R11" s="5" t="s">
        <v>76</v>
      </c>
      <c r="S11" s="4" t="n">
        <v>1500</v>
      </c>
      <c r="T11" s="4" t="s">
        <v>38</v>
      </c>
      <c r="U11" s="4" t="s">
        <v>39</v>
      </c>
      <c r="V11" s="4"/>
      <c r="W11" s="4" t="s">
        <v>40</v>
      </c>
      <c r="X11" s="4" t="s">
        <v>41</v>
      </c>
      <c r="Y11" s="4" t="s">
        <v>42</v>
      </c>
      <c r="Z11" s="5" t="s">
        <v>77</v>
      </c>
    </row>
    <row r="12" customFormat="false" ht="35.05" hidden="false" customHeight="false" outlineLevel="0" collapsed="false">
      <c r="A12" s="4" t="s">
        <v>78</v>
      </c>
      <c r="B12" s="5" t="s">
        <v>79</v>
      </c>
      <c r="C12" s="4" t="s">
        <v>30</v>
      </c>
      <c r="D12" s="4" t="s">
        <v>31</v>
      </c>
      <c r="E12" s="4" t="s">
        <v>80</v>
      </c>
      <c r="F12" s="4" t="s">
        <v>33</v>
      </c>
      <c r="G12" s="4" t="s">
        <v>81</v>
      </c>
      <c r="H12" s="4" t="s">
        <v>35</v>
      </c>
      <c r="I12" s="4"/>
      <c r="J12" s="4" t="s">
        <v>35</v>
      </c>
      <c r="K12" s="4"/>
      <c r="L12" s="4" t="s">
        <v>35</v>
      </c>
      <c r="M12" s="4"/>
      <c r="N12" s="4"/>
      <c r="O12" s="4"/>
      <c r="P12" s="4" t="s">
        <v>31</v>
      </c>
      <c r="Q12" s="4" t="s">
        <v>36</v>
      </c>
      <c r="R12" s="5" t="s">
        <v>82</v>
      </c>
      <c r="S12" s="4" t="n">
        <v>4400</v>
      </c>
      <c r="T12" s="4" t="s">
        <v>38</v>
      </c>
      <c r="U12" s="4" t="s">
        <v>39</v>
      </c>
      <c r="V12" s="4"/>
      <c r="W12" s="4" t="s">
        <v>40</v>
      </c>
      <c r="X12" s="4" t="s">
        <v>41</v>
      </c>
      <c r="Y12" s="4" t="s">
        <v>42</v>
      </c>
      <c r="Z12" s="5" t="s">
        <v>83</v>
      </c>
    </row>
    <row r="13" customFormat="false" ht="15" hidden="false" customHeight="false" outlineLevel="0" collapsed="false">
      <c r="A13" s="4" t="s">
        <v>84</v>
      </c>
      <c r="B13" s="5" t="s">
        <v>85</v>
      </c>
      <c r="C13" s="4" t="s">
        <v>30</v>
      </c>
      <c r="D13" s="4" t="s">
        <v>31</v>
      </c>
      <c r="E13" s="4" t="s">
        <v>86</v>
      </c>
      <c r="F13" s="4" t="s">
        <v>33</v>
      </c>
      <c r="G13" s="4" t="s">
        <v>34</v>
      </c>
      <c r="H13" s="4" t="s">
        <v>35</v>
      </c>
      <c r="I13" s="4"/>
      <c r="J13" s="4" t="s">
        <v>35</v>
      </c>
      <c r="K13" s="4"/>
      <c r="L13" s="4" t="s">
        <v>35</v>
      </c>
      <c r="M13" s="4"/>
      <c r="N13" s="4"/>
      <c r="O13" s="4"/>
      <c r="P13" s="4" t="s">
        <v>31</v>
      </c>
      <c r="Q13" s="7" t="s">
        <v>35</v>
      </c>
      <c r="R13" s="5"/>
      <c r="S13" s="4"/>
      <c r="T13" s="4"/>
      <c r="U13" s="4" t="s">
        <v>39</v>
      </c>
      <c r="V13" s="4"/>
      <c r="W13" s="4" t="s">
        <v>40</v>
      </c>
      <c r="X13" s="4" t="s">
        <v>41</v>
      </c>
      <c r="Y13" s="4" t="s">
        <v>42</v>
      </c>
      <c r="Z13" s="5" t="s">
        <v>68</v>
      </c>
    </row>
    <row r="14" customFormat="false" ht="15" hidden="false" customHeight="false" outlineLevel="0" collapsed="false">
      <c r="A14" s="4" t="s">
        <v>87</v>
      </c>
      <c r="B14" s="5" t="s">
        <v>88</v>
      </c>
      <c r="C14" s="4" t="s">
        <v>30</v>
      </c>
      <c r="D14" s="4" t="s">
        <v>31</v>
      </c>
      <c r="E14" s="4" t="s">
        <v>89</v>
      </c>
      <c r="F14" s="4" t="s">
        <v>33</v>
      </c>
      <c r="G14" s="4" t="s">
        <v>81</v>
      </c>
      <c r="H14" s="4" t="s">
        <v>35</v>
      </c>
      <c r="I14" s="4"/>
      <c r="J14" s="4" t="s">
        <v>35</v>
      </c>
      <c r="K14" s="4"/>
      <c r="L14" s="4" t="s">
        <v>35</v>
      </c>
      <c r="M14" s="4"/>
      <c r="N14" s="4"/>
      <c r="O14" s="4"/>
      <c r="P14" s="4" t="s">
        <v>31</v>
      </c>
      <c r="Q14" s="7" t="s">
        <v>35</v>
      </c>
      <c r="R14" s="5"/>
      <c r="S14" s="4"/>
      <c r="T14" s="4"/>
      <c r="U14" s="4" t="s">
        <v>39</v>
      </c>
      <c r="V14" s="4"/>
      <c r="W14" s="4" t="s">
        <v>40</v>
      </c>
      <c r="X14" s="4" t="s">
        <v>41</v>
      </c>
      <c r="Y14" s="4" t="s">
        <v>42</v>
      </c>
      <c r="Z14" s="5" t="s">
        <v>90</v>
      </c>
    </row>
    <row r="15" customFormat="false" ht="15" hidden="false" customHeight="false" outlineLevel="0" collapsed="false">
      <c r="A15" s="4" t="s">
        <v>91</v>
      </c>
      <c r="B15" s="5" t="s">
        <v>92</v>
      </c>
      <c r="C15" s="4" t="s">
        <v>30</v>
      </c>
      <c r="D15" s="4" t="s">
        <v>31</v>
      </c>
      <c r="E15" s="4" t="s">
        <v>93</v>
      </c>
      <c r="F15" s="4" t="s">
        <v>33</v>
      </c>
      <c r="G15" s="4" t="s">
        <v>47</v>
      </c>
      <c r="H15" s="4" t="s">
        <v>35</v>
      </c>
      <c r="I15" s="4"/>
      <c r="J15" s="4" t="s">
        <v>35</v>
      </c>
      <c r="K15" s="4"/>
      <c r="L15" s="4" t="s">
        <v>35</v>
      </c>
      <c r="M15" s="4"/>
      <c r="N15" s="4"/>
      <c r="O15" s="4"/>
      <c r="P15" s="4" t="s">
        <v>31</v>
      </c>
      <c r="Q15" s="7" t="s">
        <v>35</v>
      </c>
      <c r="R15" s="5"/>
      <c r="S15" s="4"/>
      <c r="T15" s="4"/>
      <c r="U15" s="4" t="s">
        <v>39</v>
      </c>
      <c r="V15" s="4"/>
      <c r="W15" s="4" t="s">
        <v>40</v>
      </c>
      <c r="X15" s="4" t="s">
        <v>41</v>
      </c>
      <c r="Y15" s="4" t="s">
        <v>42</v>
      </c>
      <c r="Z15" s="5" t="s">
        <v>68</v>
      </c>
    </row>
    <row r="16" customFormat="false" ht="23.85" hidden="false" customHeight="false" outlineLevel="0" collapsed="false">
      <c r="A16" s="4" t="s">
        <v>94</v>
      </c>
      <c r="B16" s="5" t="s">
        <v>95</v>
      </c>
      <c r="C16" s="4" t="s">
        <v>30</v>
      </c>
      <c r="D16" s="4" t="s">
        <v>31</v>
      </c>
      <c r="E16" s="4" t="s">
        <v>96</v>
      </c>
      <c r="F16" s="4" t="s">
        <v>33</v>
      </c>
      <c r="G16" s="4" t="s">
        <v>47</v>
      </c>
      <c r="H16" s="4" t="s">
        <v>35</v>
      </c>
      <c r="I16" s="4"/>
      <c r="J16" s="4" t="s">
        <v>35</v>
      </c>
      <c r="K16" s="4"/>
      <c r="L16" s="4" t="s">
        <v>35</v>
      </c>
      <c r="M16" s="4"/>
      <c r="N16" s="4"/>
      <c r="O16" s="4"/>
      <c r="P16" s="4" t="s">
        <v>31</v>
      </c>
      <c r="Q16" s="7" t="s">
        <v>35</v>
      </c>
      <c r="R16" s="5"/>
      <c r="S16" s="4"/>
      <c r="T16" s="4"/>
      <c r="U16" s="4" t="s">
        <v>39</v>
      </c>
      <c r="V16" s="4"/>
      <c r="W16" s="4" t="s">
        <v>40</v>
      </c>
      <c r="X16" s="4" t="s">
        <v>41</v>
      </c>
      <c r="Y16" s="4" t="s">
        <v>42</v>
      </c>
      <c r="Z16" s="5" t="s">
        <v>97</v>
      </c>
    </row>
    <row r="17" customFormat="false" ht="15" hidden="false" customHeight="false" outlineLevel="0" collapsed="false">
      <c r="A17" s="4" t="s">
        <v>98</v>
      </c>
      <c r="B17" s="5" t="s">
        <v>99</v>
      </c>
      <c r="C17" s="4" t="s">
        <v>30</v>
      </c>
      <c r="D17" s="4" t="s">
        <v>31</v>
      </c>
      <c r="E17" s="4" t="s">
        <v>100</v>
      </c>
      <c r="F17" s="4" t="s">
        <v>33</v>
      </c>
      <c r="G17" s="4" t="s">
        <v>34</v>
      </c>
      <c r="H17" s="4" t="s">
        <v>35</v>
      </c>
      <c r="I17" s="4"/>
      <c r="J17" s="4" t="s">
        <v>35</v>
      </c>
      <c r="K17" s="4"/>
      <c r="L17" s="4" t="s">
        <v>35</v>
      </c>
      <c r="M17" s="4"/>
      <c r="N17" s="4"/>
      <c r="O17" s="4"/>
      <c r="P17" s="4" t="s">
        <v>31</v>
      </c>
      <c r="Q17" s="7" t="s">
        <v>35</v>
      </c>
      <c r="R17" s="5"/>
      <c r="S17" s="4"/>
      <c r="T17" s="4"/>
      <c r="U17" s="4" t="s">
        <v>39</v>
      </c>
      <c r="V17" s="4"/>
      <c r="W17" s="4" t="s">
        <v>40</v>
      </c>
      <c r="X17" s="4" t="s">
        <v>41</v>
      </c>
      <c r="Y17" s="4" t="s">
        <v>42</v>
      </c>
      <c r="Z17" s="5" t="s">
        <v>101</v>
      </c>
    </row>
    <row r="18" customFormat="false" ht="23.85" hidden="false" customHeight="false" outlineLevel="0" collapsed="false">
      <c r="A18" s="4" t="s">
        <v>102</v>
      </c>
      <c r="B18" s="5" t="s">
        <v>103</v>
      </c>
      <c r="C18" s="4" t="s">
        <v>30</v>
      </c>
      <c r="D18" s="4" t="s">
        <v>31</v>
      </c>
      <c r="E18" s="4" t="s">
        <v>104</v>
      </c>
      <c r="F18" s="4" t="s">
        <v>33</v>
      </c>
      <c r="G18" s="4" t="s">
        <v>34</v>
      </c>
      <c r="H18" s="4" t="s">
        <v>35</v>
      </c>
      <c r="I18" s="4"/>
      <c r="J18" s="4" t="s">
        <v>35</v>
      </c>
      <c r="K18" s="4"/>
      <c r="L18" s="4" t="s">
        <v>35</v>
      </c>
      <c r="M18" s="4"/>
      <c r="N18" s="4"/>
      <c r="O18" s="4"/>
      <c r="P18" s="4" t="s">
        <v>31</v>
      </c>
      <c r="Q18" s="7" t="s">
        <v>35</v>
      </c>
      <c r="R18" s="5"/>
      <c r="S18" s="4"/>
      <c r="T18" s="4"/>
      <c r="U18" s="4" t="s">
        <v>39</v>
      </c>
      <c r="V18" s="4"/>
      <c r="W18" s="4" t="s">
        <v>40</v>
      </c>
      <c r="X18" s="4" t="s">
        <v>41</v>
      </c>
      <c r="Y18" s="4" t="s">
        <v>42</v>
      </c>
      <c r="Z18" s="5" t="s">
        <v>105</v>
      </c>
    </row>
    <row r="19" customFormat="false" ht="15" hidden="false" customHeight="false" outlineLevel="0" collapsed="false">
      <c r="A19" s="4" t="s">
        <v>106</v>
      </c>
      <c r="B19" s="5" t="s">
        <v>107</v>
      </c>
      <c r="C19" s="4" t="s">
        <v>30</v>
      </c>
      <c r="D19" s="4" t="s">
        <v>31</v>
      </c>
      <c r="E19" s="4" t="s">
        <v>108</v>
      </c>
      <c r="F19" s="4" t="s">
        <v>33</v>
      </c>
      <c r="G19" s="4" t="s">
        <v>34</v>
      </c>
      <c r="H19" s="4" t="s">
        <v>35</v>
      </c>
      <c r="I19" s="4"/>
      <c r="J19" s="4" t="s">
        <v>35</v>
      </c>
      <c r="K19" s="4"/>
      <c r="L19" s="4" t="s">
        <v>35</v>
      </c>
      <c r="M19" s="4"/>
      <c r="N19" s="4"/>
      <c r="O19" s="4"/>
      <c r="P19" s="4" t="s">
        <v>31</v>
      </c>
      <c r="Q19" s="7" t="s">
        <v>35</v>
      </c>
      <c r="R19" s="5"/>
      <c r="S19" s="4"/>
      <c r="T19" s="4"/>
      <c r="U19" s="4" t="s">
        <v>39</v>
      </c>
      <c r="V19" s="4"/>
      <c r="W19" s="4" t="s">
        <v>40</v>
      </c>
      <c r="X19" s="4" t="s">
        <v>41</v>
      </c>
      <c r="Y19" s="4" t="s">
        <v>42</v>
      </c>
      <c r="Z19" s="5" t="s">
        <v>68</v>
      </c>
    </row>
    <row r="20" customFormat="false" ht="15" hidden="false" customHeight="false" outlineLevel="0" collapsed="false">
      <c r="A20" s="4" t="s">
        <v>109</v>
      </c>
      <c r="B20" s="5" t="s">
        <v>110</v>
      </c>
      <c r="C20" s="4" t="s">
        <v>30</v>
      </c>
      <c r="D20" s="4" t="s">
        <v>31</v>
      </c>
      <c r="E20" s="4" t="s">
        <v>111</v>
      </c>
      <c r="F20" s="4" t="s">
        <v>33</v>
      </c>
      <c r="G20" s="4" t="s">
        <v>34</v>
      </c>
      <c r="H20" s="4" t="s">
        <v>35</v>
      </c>
      <c r="I20" s="4"/>
      <c r="J20" s="4" t="s">
        <v>35</v>
      </c>
      <c r="K20" s="4"/>
      <c r="L20" s="4" t="s">
        <v>35</v>
      </c>
      <c r="M20" s="4"/>
      <c r="N20" s="4"/>
      <c r="O20" s="4"/>
      <c r="P20" s="4" t="s">
        <v>31</v>
      </c>
      <c r="Q20" s="7" t="s">
        <v>35</v>
      </c>
      <c r="R20" s="5"/>
      <c r="S20" s="4"/>
      <c r="T20" s="4"/>
      <c r="U20" s="4" t="s">
        <v>39</v>
      </c>
      <c r="V20" s="4"/>
      <c r="W20" s="4" t="s">
        <v>40</v>
      </c>
      <c r="X20" s="4" t="s">
        <v>41</v>
      </c>
      <c r="Y20" s="4" t="s">
        <v>42</v>
      </c>
      <c r="Z20" s="5" t="s">
        <v>112</v>
      </c>
    </row>
    <row r="21" customFormat="false" ht="15" hidden="false" customHeight="false" outlineLevel="0" collapsed="false">
      <c r="A21" s="4" t="s">
        <v>113</v>
      </c>
      <c r="B21" s="5" t="s">
        <v>114</v>
      </c>
      <c r="C21" s="4" t="s">
        <v>30</v>
      </c>
      <c r="D21" s="4" t="s">
        <v>31</v>
      </c>
      <c r="E21" s="4" t="s">
        <v>115</v>
      </c>
      <c r="F21" s="4" t="s">
        <v>33</v>
      </c>
      <c r="G21" s="4" t="s">
        <v>34</v>
      </c>
      <c r="H21" s="4" t="s">
        <v>35</v>
      </c>
      <c r="I21" s="4"/>
      <c r="J21" s="4" t="s">
        <v>35</v>
      </c>
      <c r="K21" s="4"/>
      <c r="L21" s="4" t="s">
        <v>35</v>
      </c>
      <c r="M21" s="4"/>
      <c r="N21" s="4"/>
      <c r="O21" s="4"/>
      <c r="P21" s="4" t="s">
        <v>31</v>
      </c>
      <c r="Q21" s="7" t="s">
        <v>35</v>
      </c>
      <c r="R21" s="5"/>
      <c r="S21" s="4"/>
      <c r="T21" s="4"/>
      <c r="U21" s="4" t="s">
        <v>39</v>
      </c>
      <c r="V21" s="4"/>
      <c r="W21" s="4" t="s">
        <v>40</v>
      </c>
      <c r="X21" s="4" t="s">
        <v>41</v>
      </c>
      <c r="Y21" s="4" t="s">
        <v>42</v>
      </c>
      <c r="Z21" s="5" t="s">
        <v>68</v>
      </c>
    </row>
    <row r="22" customFormat="false" ht="23.85" hidden="false" customHeight="false" outlineLevel="0" collapsed="false">
      <c r="A22" s="4" t="s">
        <v>116</v>
      </c>
      <c r="B22" s="5" t="s">
        <v>117</v>
      </c>
      <c r="C22" s="4" t="s">
        <v>118</v>
      </c>
      <c r="D22" s="4" t="s">
        <v>31</v>
      </c>
      <c r="E22" s="4" t="s">
        <v>119</v>
      </c>
      <c r="F22" s="4" t="s">
        <v>33</v>
      </c>
      <c r="G22" s="4" t="s">
        <v>81</v>
      </c>
      <c r="H22" s="4" t="s">
        <v>35</v>
      </c>
      <c r="I22" s="4"/>
      <c r="J22" s="4" t="s">
        <v>35</v>
      </c>
      <c r="K22" s="4"/>
      <c r="L22" s="4" t="s">
        <v>35</v>
      </c>
      <c r="M22" s="4"/>
      <c r="N22" s="4"/>
      <c r="O22" s="4"/>
      <c r="P22" s="4" t="s">
        <v>31</v>
      </c>
      <c r="Q22" s="4"/>
      <c r="R22" s="5"/>
      <c r="S22" s="4"/>
      <c r="T22" s="4"/>
      <c r="U22" s="4" t="s">
        <v>39</v>
      </c>
      <c r="V22" s="8" t="s">
        <v>120</v>
      </c>
      <c r="W22" s="4" t="s">
        <v>40</v>
      </c>
      <c r="X22" s="4" t="s">
        <v>41</v>
      </c>
      <c r="Y22" s="4" t="s">
        <v>42</v>
      </c>
      <c r="Z22" s="5" t="s">
        <v>121</v>
      </c>
    </row>
    <row r="23" customFormat="false" ht="15" hidden="false" customHeight="false" outlineLevel="0" collapsed="false">
      <c r="A23" s="4" t="s">
        <v>122</v>
      </c>
      <c r="B23" s="5" t="s">
        <v>123</v>
      </c>
      <c r="C23" s="4" t="s">
        <v>118</v>
      </c>
      <c r="D23" s="4" t="s">
        <v>31</v>
      </c>
      <c r="E23" s="4" t="s">
        <v>124</v>
      </c>
      <c r="F23" s="4" t="s">
        <v>33</v>
      </c>
      <c r="G23" s="4" t="s">
        <v>34</v>
      </c>
      <c r="H23" s="4" t="s">
        <v>35</v>
      </c>
      <c r="I23" s="4"/>
      <c r="J23" s="4" t="s">
        <v>35</v>
      </c>
      <c r="K23" s="4"/>
      <c r="L23" s="4" t="s">
        <v>35</v>
      </c>
      <c r="M23" s="4"/>
      <c r="N23" s="4"/>
      <c r="O23" s="4"/>
      <c r="P23" s="4" t="s">
        <v>31</v>
      </c>
      <c r="Q23" s="4"/>
      <c r="R23" s="5"/>
      <c r="S23" s="4"/>
      <c r="T23" s="4"/>
      <c r="U23" s="4" t="s">
        <v>39</v>
      </c>
      <c r="V23" s="8" t="s">
        <v>120</v>
      </c>
      <c r="W23" s="4" t="s">
        <v>40</v>
      </c>
      <c r="X23" s="4" t="s">
        <v>41</v>
      </c>
      <c r="Y23" s="4" t="s">
        <v>42</v>
      </c>
      <c r="Z23" s="5" t="s">
        <v>125</v>
      </c>
    </row>
    <row r="24" customFormat="false" ht="15" hidden="false" customHeight="false" outlineLevel="0" collapsed="false">
      <c r="A24" s="4" t="s">
        <v>126</v>
      </c>
      <c r="B24" s="5" t="s">
        <v>127</v>
      </c>
      <c r="C24" s="4" t="s">
        <v>118</v>
      </c>
      <c r="D24" s="4" t="s">
        <v>31</v>
      </c>
      <c r="E24" s="4" t="s">
        <v>128</v>
      </c>
      <c r="F24" s="4" t="s">
        <v>33</v>
      </c>
      <c r="G24" s="4" t="s">
        <v>34</v>
      </c>
      <c r="H24" s="4" t="s">
        <v>35</v>
      </c>
      <c r="I24" s="4"/>
      <c r="J24" s="4" t="s">
        <v>35</v>
      </c>
      <c r="K24" s="4"/>
      <c r="L24" s="4" t="s">
        <v>35</v>
      </c>
      <c r="M24" s="4"/>
      <c r="N24" s="4"/>
      <c r="O24" s="4"/>
      <c r="P24" s="4" t="s">
        <v>31</v>
      </c>
      <c r="Q24" s="4"/>
      <c r="R24" s="5"/>
      <c r="S24" s="4"/>
      <c r="T24" s="4"/>
      <c r="U24" s="4" t="s">
        <v>39</v>
      </c>
      <c r="V24" s="8" t="s">
        <v>120</v>
      </c>
      <c r="W24" s="4" t="s">
        <v>40</v>
      </c>
      <c r="X24" s="4" t="s">
        <v>41</v>
      </c>
      <c r="Y24" s="4" t="s">
        <v>42</v>
      </c>
      <c r="Z24" s="5" t="s">
        <v>129</v>
      </c>
    </row>
    <row r="25" customFormat="false" ht="35.05" hidden="false" customHeight="false" outlineLevel="0" collapsed="false">
      <c r="A25" s="4" t="s">
        <v>130</v>
      </c>
      <c r="B25" s="5" t="s">
        <v>131</v>
      </c>
      <c r="C25" s="4" t="s">
        <v>132</v>
      </c>
      <c r="D25" s="4" t="s">
        <v>31</v>
      </c>
      <c r="E25" s="4" t="s">
        <v>133</v>
      </c>
      <c r="F25" s="4" t="s">
        <v>33</v>
      </c>
      <c r="G25" s="4" t="s">
        <v>34</v>
      </c>
      <c r="H25" s="4" t="s">
        <v>35</v>
      </c>
      <c r="I25" s="4"/>
      <c r="J25" s="4" t="s">
        <v>35</v>
      </c>
      <c r="K25" s="4"/>
      <c r="L25" s="4" t="s">
        <v>35</v>
      </c>
      <c r="M25" s="4"/>
      <c r="N25" s="4"/>
      <c r="O25" s="4"/>
      <c r="P25" s="4" t="s">
        <v>31</v>
      </c>
      <c r="Q25" s="4"/>
      <c r="R25" s="5"/>
      <c r="S25" s="4"/>
      <c r="T25" s="4"/>
      <c r="U25" s="4" t="s">
        <v>39</v>
      </c>
      <c r="V25" s="8" t="s">
        <v>120</v>
      </c>
      <c r="W25" s="4" t="s">
        <v>40</v>
      </c>
      <c r="X25" s="4" t="s">
        <v>41</v>
      </c>
      <c r="Y25" s="4" t="s">
        <v>42</v>
      </c>
      <c r="Z25" s="5" t="s">
        <v>134</v>
      </c>
    </row>
    <row r="27" customFormat="false" ht="15" hidden="false" customHeight="false" outlineLevel="0" collapsed="false">
      <c r="A27" s="9" t="s">
        <v>135</v>
      </c>
    </row>
    <row r="28" customFormat="false" ht="15" hidden="false" customHeight="false" outlineLevel="0" collapsed="false">
      <c r="A28" s="10" t="s">
        <v>136</v>
      </c>
      <c r="B28" s="11" t="n">
        <f aca="false">COUNTA(A5:A25)</f>
        <v>21</v>
      </c>
    </row>
    <row r="29" customFormat="false" ht="15" hidden="false" customHeight="false" outlineLevel="0" collapsed="false">
      <c r="A29" s="10" t="s">
        <v>137</v>
      </c>
      <c r="B29" s="11" t="n">
        <f aca="false">COUNTIF(V5:V25,"")</f>
        <v>17</v>
      </c>
    </row>
    <row r="30" customFormat="false" ht="15" hidden="false" customHeight="false" outlineLevel="0" collapsed="false">
      <c r="A30" s="10" t="s">
        <v>138</v>
      </c>
      <c r="B30" s="11" t="n">
        <f aca="false">COUNTIF(V5:V25,"outside_boundary")</f>
        <v>4</v>
      </c>
    </row>
    <row r="31" customFormat="false" ht="15" hidden="false" customHeight="false" outlineLevel="0" collapsed="false">
      <c r="A31" s="10" t="s">
        <v>139</v>
      </c>
      <c r="B31" s="11" t="n">
        <f aca="false">COUNTIF(Q5:Q25,"full")+COUNTIF(Q5:Q25,"price_only")</f>
        <v>7</v>
      </c>
    </row>
    <row r="32" customFormat="false" ht="15" hidden="false" customHeight="false" outlineLevel="0" collapsed="false">
      <c r="A32" s="10" t="s">
        <v>140</v>
      </c>
      <c r="B32" s="11" t="n">
        <f aca="false">COUNTIF(Q5:Q25,"full")</f>
        <v>3</v>
      </c>
    </row>
    <row r="33" customFormat="false" ht="15" hidden="false" customHeight="false" outlineLevel="0" collapsed="false">
      <c r="A33" s="10" t="s">
        <v>141</v>
      </c>
      <c r="B33" s="11" t="n">
        <f aca="false">COUNTIF(Q5:Q25,"price_only")</f>
        <v>4</v>
      </c>
    </row>
    <row r="34" customFormat="false" ht="15" hidden="false" customHeight="false" outlineLevel="0" collapsed="false">
      <c r="A34" s="10" t="s">
        <v>142</v>
      </c>
      <c r="B34" s="11" t="n">
        <f aca="false">COUNTIF(Q5:Q25,"none")</f>
        <v>0</v>
      </c>
    </row>
    <row r="35" customFormat="false" ht="15" hidden="false" customHeight="false" outlineLevel="0" collapsed="false">
      <c r="A35" s="10" t="s">
        <v>143</v>
      </c>
      <c r="B35" s="11" t="n">
        <f aca="false">COUNTIF(Q5:Q25,"untested")</f>
        <v>10</v>
      </c>
    </row>
    <row r="37" customFormat="false" ht="15" hidden="false" customHeight="false" outlineLevel="0" collapsed="false">
      <c r="A37" s="1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145</v>
      </c>
    </row>
    <row r="2" customFormat="false" ht="30" hidden="false" customHeight="true" outlineLevel="0" collapsed="false">
      <c r="A2" s="9"/>
      <c r="B2" s="13"/>
    </row>
    <row r="3" customFormat="false" ht="30" hidden="false" customHeight="true" outlineLevel="0" collapsed="false">
      <c r="A3" s="9" t="s">
        <v>146</v>
      </c>
      <c r="B3" s="13" t="s">
        <v>147</v>
      </c>
    </row>
    <row r="4" customFormat="false" ht="30" hidden="false" customHeight="true" outlineLevel="0" collapsed="false">
      <c r="A4" s="9" t="s">
        <v>148</v>
      </c>
      <c r="B4" s="13" t="s">
        <v>149</v>
      </c>
    </row>
    <row r="5" customFormat="false" ht="30" hidden="false" customHeight="true" outlineLevel="0" collapsed="false">
      <c r="A5" s="9" t="s">
        <v>150</v>
      </c>
      <c r="B5" s="13" t="s">
        <v>151</v>
      </c>
    </row>
    <row r="6" customFormat="false" ht="30" hidden="false" customHeight="true" outlineLevel="0" collapsed="false">
      <c r="A6" s="9" t="s">
        <v>152</v>
      </c>
      <c r="B6" s="13" t="s">
        <v>153</v>
      </c>
    </row>
    <row r="7" customFormat="false" ht="30" hidden="false" customHeight="true" outlineLevel="0" collapsed="false">
      <c r="A7" s="9" t="s">
        <v>154</v>
      </c>
      <c r="B7" s="13" t="s">
        <v>155</v>
      </c>
    </row>
    <row r="8" customFormat="false" ht="30" hidden="false" customHeight="true" outlineLevel="0" collapsed="false">
      <c r="A8" s="9" t="s">
        <v>156</v>
      </c>
      <c r="B8" s="13" t="s">
        <v>157</v>
      </c>
    </row>
    <row r="9" customFormat="false" ht="30" hidden="false" customHeight="true" outlineLevel="0" collapsed="false">
      <c r="A9" s="9" t="s">
        <v>22</v>
      </c>
      <c r="B9" s="13" t="s">
        <v>158</v>
      </c>
    </row>
    <row r="10" customFormat="false" ht="30" hidden="false" customHeight="true" outlineLevel="0" collapsed="false">
      <c r="A10" s="9" t="s">
        <v>159</v>
      </c>
      <c r="B10" s="13" t="s">
        <v>160</v>
      </c>
    </row>
    <row r="11" customFormat="false" ht="30" hidden="false" customHeight="true" outlineLevel="0" collapsed="false">
      <c r="A11" s="9" t="s">
        <v>161</v>
      </c>
      <c r="B11" s="13" t="s">
        <v>162</v>
      </c>
    </row>
    <row r="12" customFormat="false" ht="30" hidden="false" customHeight="true" outlineLevel="0" collapsed="false">
      <c r="A12" s="9" t="s">
        <v>163</v>
      </c>
      <c r="B12" s="13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165</v>
      </c>
    </row>
    <row r="3" customFormat="false" ht="30" hidden="false" customHeight="true" outlineLevel="0" collapsed="false">
      <c r="A3" s="9" t="s">
        <v>24</v>
      </c>
      <c r="B3" s="13" t="s">
        <v>166</v>
      </c>
    </row>
    <row r="4" customFormat="false" ht="30" hidden="false" customHeight="true" outlineLevel="0" collapsed="false">
      <c r="A4" s="9" t="s">
        <v>26</v>
      </c>
      <c r="B4" s="13" t="s">
        <v>167</v>
      </c>
    </row>
    <row r="5" customFormat="false" ht="30" hidden="false" customHeight="true" outlineLevel="0" collapsed="false">
      <c r="A5" s="9" t="s">
        <v>168</v>
      </c>
      <c r="B5" s="13" t="s">
        <v>169</v>
      </c>
    </row>
    <row r="6" customFormat="false" ht="30" hidden="false" customHeight="true" outlineLevel="0" collapsed="false">
      <c r="A6" s="9" t="s">
        <v>170</v>
      </c>
      <c r="B6" s="13" t="s">
        <v>171</v>
      </c>
    </row>
    <row r="7" customFormat="false" ht="30" hidden="false" customHeight="true" outlineLevel="0" collapsed="false">
      <c r="A7" s="9" t="s">
        <v>172</v>
      </c>
      <c r="B7" s="13" t="s">
        <v>173</v>
      </c>
    </row>
    <row r="8" customFormat="false" ht="30" hidden="false" customHeight="true" outlineLevel="0" collapsed="false">
      <c r="A8" s="9" t="s">
        <v>174</v>
      </c>
      <c r="B8" s="13" t="s">
        <v>175</v>
      </c>
    </row>
    <row r="9" customFormat="false" ht="30" hidden="false" customHeight="true" outlineLevel="0" collapsed="false">
      <c r="A9" s="9" t="s">
        <v>176</v>
      </c>
      <c r="B9" s="13" t="s">
        <v>177</v>
      </c>
    </row>
    <row r="10" customFormat="false" ht="30" hidden="false" customHeight="true" outlineLevel="0" collapsed="false">
      <c r="A10" s="9" t="s">
        <v>178</v>
      </c>
      <c r="B10" s="13" t="s">
        <v>179</v>
      </c>
    </row>
    <row r="11" customFormat="false" ht="30" hidden="false" customHeight="true" outlineLevel="0" collapsed="false">
      <c r="A11" s="9" t="s">
        <v>180</v>
      </c>
      <c r="B11" s="13" t="s">
        <v>181</v>
      </c>
    </row>
    <row r="12" customFormat="false" ht="30" hidden="false" customHeight="true" outlineLevel="0" collapsed="false">
      <c r="A12" s="9" t="s">
        <v>182</v>
      </c>
      <c r="B12" s="13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2026-09-28T08:34:07Z</dcterms:created>
  <dc:creator>openpyxl</dc:creator>
  <dc:description/>
  <dc:language>en-US</dc:language>
  <cp:lastModifiedBy/>
  <dcterms:modified xsi:type="dcterms:W3CDTF">2026-09-28T08:34:07Z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